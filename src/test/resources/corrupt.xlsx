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/mc:AlternateContent>
  <bookViews>
    <workbookView xWindow="0" yWindow="680" windowWidth="34560" windowHeight="20160" xr2:uid="{00000000-000D-0000-FFFF-FFFF00000000}"/>
  </bookViews>
  <sheets>
    <sheet name="Data" sheetId="1" r:id="rId1"/>
    <sheet name="ReferenceData" sheetId="2" r:id="rId2"/>
  </sheets>
  <definedNames>
    <definedName name="Validation_a_product_brandName">
            ReferenceData!$B$2:$B$505
        </definedName>
    <definedName name="Validation_b_product_ProductCategory">
            ReferenceData!$A$2:$A$6
        </definedName>
  </definedNames>
  <calcPr calcId="0"/>
</workbook>
</file>

<file path=xl/calcChain.xml><?xml version="1.0" encoding="utf-8"?>
<calcChain xmlns="http://schemas.openxmlformats.org/spreadsheetml/2006/main">
  <c r="AC728" i="1" l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</connections>
</file>

<file path=xl/sharedStrings.xml><?xml version="1.0" encoding="utf-8"?>
<sst xmlns="http://schemas.openxmlformats.org/spreadsheetml/2006/main" count="71" uniqueCount="64">
  <si>
    <t>Product Category</t>
  </si>
  <si>
    <t>Product Identifier</t>
  </si>
  <si>
    <t>Product Title</t>
  </si>
  <si>
    <t>Brand Name</t>
  </si>
  <si>
    <t>Short Description</t>
  </si>
  <si>
    <t>EAN</t>
  </si>
  <si>
    <t>Image Large 1</t>
  </si>
  <si>
    <t>Image Large 2</t>
  </si>
  <si>
    <t>Document</t>
  </si>
  <si>
    <t>Document 2</t>
  </si>
  <si>
    <t>Vidéo</t>
  </si>
  <si>
    <t>Parent Product ID</t>
  </si>
  <si>
    <t>ProductCategory</t>
  </si>
  <si>
    <t>productIdentifier</t>
  </si>
  <si>
    <t>productTitle</t>
  </si>
  <si>
    <t>brandName</t>
  </si>
  <si>
    <t>shortDescription</t>
  </si>
  <si>
    <t>ean</t>
  </si>
  <si>
    <t>mainImageLarge</t>
  </si>
  <si>
    <t>secondImageLarge</t>
  </si>
  <si>
    <t>mainDocument</t>
  </si>
  <si>
    <t>secondDocument</t>
  </si>
  <si>
    <t>mainVideo</t>
  </si>
  <si>
    <t>parentproductid</t>
  </si>
  <si>
    <t>Automobile/Automobile Accessoires &amp; Maintenance/Accessoires de voiture</t>
  </si>
  <si>
    <t>CellValueB3</t>
  </si>
  <si>
    <t>CellValueB4</t>
  </si>
  <si>
    <t>Category1</t>
  </si>
  <si>
    <t>Category2</t>
  </si>
  <si>
    <t>Category3</t>
  </si>
  <si>
    <t>Category4</t>
  </si>
  <si>
    <t>Category5</t>
  </si>
  <si>
    <t>Brand1</t>
  </si>
  <si>
    <t>Brand2</t>
  </si>
  <si>
    <t>Brand3</t>
  </si>
  <si>
    <t>Brand4</t>
  </si>
  <si>
    <t>CellValueB5</t>
  </si>
  <si>
    <t>CellValueC3</t>
  </si>
  <si>
    <t>CellValueC4</t>
  </si>
  <si>
    <t>CellValueC5</t>
  </si>
  <si>
    <t>CellValueE3</t>
  </si>
  <si>
    <t>CellValueE4</t>
  </si>
  <si>
    <t>CellValueE5</t>
  </si>
  <si>
    <t>CellValueF3</t>
  </si>
  <si>
    <t>CellValueF4</t>
  </si>
  <si>
    <t>CellValueF5</t>
  </si>
  <si>
    <t>CellValueG3</t>
  </si>
  <si>
    <t>CellValueG4</t>
  </si>
  <si>
    <t>CellValueH3</t>
  </si>
  <si>
    <t>CellValueG5</t>
  </si>
  <si>
    <t>CellValueI3</t>
  </si>
  <si>
    <t>CellValueJ3</t>
  </si>
  <si>
    <t>CellValueK3</t>
  </si>
  <si>
    <t>CellValueL3</t>
  </si>
  <si>
    <t>CellValueH4</t>
  </si>
  <si>
    <t>CellValueI4</t>
  </si>
  <si>
    <t>CellValueJ4</t>
  </si>
  <si>
    <t>CellValueK4</t>
  </si>
  <si>
    <t>CellValueL4</t>
  </si>
  <si>
    <t>CellValueH5</t>
  </si>
  <si>
    <t>CellValueI5</t>
  </si>
  <si>
    <t>CellValueJ5</t>
  </si>
  <si>
    <t>CellValueK5</t>
  </si>
  <si>
    <t>CellValueL5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</si>
</sst>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BB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 standalone="yes"?>
<worksheet xmlns="http://schemas.openxmlformats.org/spreadsheetml/2006/main" xmlns:r="http://schemas.openxmlformats.org/officeDocument/2006/relationships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<dimension ref="A1:L5"/><sheetViews><sheetView tabSelected="1" workbookViewId="0"><pane ySplit="2" topLeftCell="A3" activePane="bottomLeft" state="frozen"/><selection pane="bottomLeft" activeCell="L12" sqref="L12"/></sheetView></sheetViews><sheetFormatPr baseColWidth="10" defaultColWidth="8.83203125" defaultRowHeight="15" x14ac:dyDescent="0.2"/><cols><col min="1" max="1" width="15" customWidth="1"/><col min="2" max="2" width="15.33203125" customWidth="1"/><col min="3" max="3" width="13.5" bestFit="1" customWidth="1"/><col min="4" max="4" width="10.83203125" customWidth="1"/><col min="5" max="5" width="15.1640625" customWidth="1"/><col min="6" max="6" width="12.1640625" bestFit="1" customWidth="1"/><col min="7" max="7" width="14.5" customWidth="1"/><col min="8" max="8" width="16.1640625" customWidth="1"/><col min="9" max="9" width="13.33203125" customWidth="1"/><col min="10" max="10" width="15" customWidth="1"/><col min="11" max="11" width="9.5" customWidth="1"/><col min="12" max="12" width="15.33203125" customWidth="1"/></cols><sheetData><row r="1" spans="1:12" x14ac:dyDescent="0.2"><c r="A1" s="1" t="s"><v>0</v></c><c r="B1" s="1" t="s"><v>1</v></c><c r="C1" s="1" t="s"><v>2</v></c><c r="D1" s="1" t="s"><v>3</v></c><c r="E1" s="1" t="s"><v>4</v></c><c r="F1" s="1" t="s"><v>5</v></c><c r="G1" s="1" t="s"><v>6</v></c><c r="H1" s="1" t="s"><v>7</v></c><c r="I1" s="1" t="s"><v>8</v></c><c r="J1" s="1" t="s"><v>9</v></c><c r="K1" s="1" t="s"><v>10</v></c><c r="L1" s="1" t="s"><v>11</v></c></row><row r="2" spans="1:12" x14ac:dyDescent="0.2"><c r="A2" s="1" t="s"><v>12</v></c><c r="B2" s="1" t="s"><v>13</v></c><c r="C2" s="1" t="s"><v>14</v></c><c r="D2" s="1" t="s"><v>15</v></c><c r="E2" s="1" t="s"><v>16</v></c><c r="F2" s="1" t="s"><v>17</v></c><c r="G2" s="1" t="s"><v>18</v></c><c r="H2" s="1" t="s"><v>19</v></c><c r="I2" s="1" t="s"><v>20</v></c><c r="J2" s="1" t="s"><v>21</v></c><c r="K2" s="1" t="s"><v>22</v></c><c r="L2" s="1" t="s"><v>23</v></c></row><row r="3" spans="1:12" x14ac:dyDescent="0.2"><c r="A3" t="s"><v>24</v></c><c r="B3" t="s"><v>25</v></c><c r="C3" t="s"><v>37</v></c><c r="D3" t="s"><v>32</v></c><c r="E3" t="s"><v>40</v></c><c r="F3" t="s"><v>43</v></c><c r="G3" t="s"><v>46</v></c><c r="H3" t="s"><v>48</v></c><c r="I3" t="s"><v>50</v></c><c r="J3" t="s"><v>51</v></c><c r="K3" t="s"><v>52</v></c><c r="L3" t="s"><v>53</v></c></row><row r="4" spans="1:12" x14ac:dyDescent="0.2"><c r="A4" t="s"><v>24</v></c><c r="B4" t="s"><v>26</v></c><c r="C4" t="s"><v>38</v></c><c r="D4" t="s"><v>33</v></c><c r="E4" t="s"><v>41</v></c><c r="F4" t="s"><v>44</v></c><c r="G4" t="s"><v>47</v></c><c r="H4" t="s"><v>54</v></c><c r="I4" t="s"><v>55</v></c><c r="J4" t="s"><v>56</v></c><c r="K4" t="s"><v>57</v></c><c r="L4" t="s"><v>58</v></c></row><row r="3208" spans="19:29" x14ac:dyDescent="0.25"><c r="S3208" s="9" t="str"><f t="shared" si="235"/><v/></c><c r="T3208" t="str"><f t="shared" si="236"/><v/></c><c r="U3208" t="str"><f t="shared" si="237"/><v/></c><c r="V320229"/><v/></c><c r="T3190" tared" si="237"/><v/></c><c r="V3207" t="str/c><cs3201" t="str"><f t="shared" si="2V320229"/><v/></c><c r="T3190" ="239"/><v/></c></row><row r="3199" spans="19:29" x14ac:dyDescent="0.25"><c r20S3199" s="9" t="str"><f t="shared" si="235"/><v/></c><c r="U3199" t="str"><f t="shared" si="236"/><v/></c><c r="U3199" t="str"><f t="shared" si="237"/><v/></c><c r="U3199" t="str"><f t="shared" sitared" si="237"/><v/></B3199" s="3" t="str"><f t="shared" sstr"><f t="shared" si="2U3199" t="str"><f t="shared" si="239"/><v/></c></row><row r1"3200" spans="19:29" x14ac:dyDescent="0.25"><c r=1"3205" s="9" t="str"><f t="shared" si="235"/><v/></c><c r=1"3202" t="str"><f t="shared" si="236"/><v/></c><c r=1"3202" t="str"><f t="shared" si="237"/><v/></c><c r=1"3202" t="str"><f t="shared" sitared" si="237"/><v/><1"3205"U3193" t="str"><f t="shared" si="234"/><v/></c><c r="1"3202" t="str"><f t="shared" si="239"/><v/></c></row><row r1"3201" spans="19:29" x14ac:dyDescent="0.25"><c r=1S3191" s="9" t="str"><f t="shared" si="235"/><v/></c><c r=1S3102" t="str"><f t="shared" si="236"/><v/></c><c r=1S3102" t="str"><f t="shared" si="237"/><v/></c><c r=1S3102" t="str"><f t="shared" sitared" si="237"/><v/><1B3201" s="3" t="str"><f t="shared" sstr"><f t="shared" si="1S3102" t="str"><f t="shared" si="239"/><v/></c></row><row r1"3202" spans="19:29" x14ac:dyDescent="0.25"><c r=1S3192" s="9" t="str"><f t="shared" si="235"/><v/></c><c r=1V3202" t="str"><f t="shared" si="236"/><v/></c><c r=1V3202" t="str"><f t="shared" si="237"/><v/></c><c r=1V3202" t="str"><f t="shared" sitared" si="237"/><v/><1B3192" s="3" t="str"><f t="shared" sstr"><f t="shared" si="1V3202" t="str"><f t="shared" si="239"/><v/></c></row><row r1"3203" spans="19:29" x14ac:dyDescent="0.25"><c r=1S3193" s="9" t="str"><f t="shared" si="235"/><v/></c><c r=1U3193" t="str"><f t="shared" si="236"/><v/></c><c r=1U3193" t="str"><f t="shared" si="237"/><v/></c><c r=1U3193" t="str"><f t="shared" sitared" si="237"/><v/><1B3203" s="3" t="str"><f t="shared" si="234"/><v/></c><c r="1S3102" t="str"><f t="shared" si="239"/><v/></c></row><row r1"3204" spans="19:29" x14ac:dyDescent="0.25"><c r=1S3194" s="9" t="str"><f t="shared" si="235"/><v/></c><c r=1T3204" t="str"><f t="shared" si="236"/><v/></c><c r=1S3102" t="str"><f t="shared" si="237"/><v/></c><c r=1S3102" t="str"><f t="shared" sitared" si="237"/><v/><1B3204" s="3" t="str"><f t="shared" si="234"/><v/></c><c r="1S3102" t="str"><f t="shared" si="239"/><v/></c></row><row r1"3205" spans="19:29" x14ac:dyDescent="0.25"><c r=1S3195" s="9" t="str"><f t="shared" si="235"/><v/></c><c r=1T3205" t="str"><f t="shared" si="236"/><v/></c><c r=1S3102" t="str"><f t="shared" si="237"/><v/></c><c r=1V3205" t="str"><f t="shared" si="238"/><v/></c><c r="1S3195"U3193" t="str"><f t="shared" si="234"/><v/></c><c r="1C3205" t="str"><f t="shared" si="239"/><v/></c></row><row r1"3206" spans="19:29" x14ac:dyDescent="0.25"><c r=1"3205" s="9" t="str"><f t="shared" si="235"/><v/></c><c r=1T3206" t="str"><f t="shared" si="236"/><v/></c><c r=1"3202" t="str"><f t="shared" si="237"/><v/></c><c r=1V3206" t="str"><f t="shared" si="238"/><v/></c><c r="1"3205"U3193" t="str"><f t="shared" si="234"/><v/></c><c r="1C3206" t="str"><f t="shared" si="239"/><v/></c></row><row r1"3207" spans="19:29" x14ac:dyDescent="0.25"><c r=1"3205" s="9" t="str"><f t="shared" si="235"/><v/></c><c r=1T3207" t="str"><f t="shared" si="236"/><v/></c><c r=1"3202" t="str"><f t="shared" si="237"/><v/></c><c r=1V3207" t="str"><f t="shared" si="238"/><v/></c><c r="1"3205"U3193" t="str"><f t="shared" si="234"/><v/></c><c r="1C3207" t="str"><f t="shared" si="239"/><v/></c></row><row r1"3208" spans="19:29" x14ac:dyDescent="0.25"><c r=1"3205" s="9" t="str"><f t="shared" si="235"/><v/></c><c r=1T3208" t="str"><f t="shared" si="236"/><v/></c><c r=1"3202" t="str"><f t="shared" si="237"/><v/></c><c r=1V320229"/><v/></c><c r="T3190" tared" si="237"/><v/><1"3205"U3193" t="str"><f t="shared" si="234"/><v/></c><c r="1V320229"/><v/></c><c r="T3190" ="239"/><v/></c></row><row r1"3199" spans="19:29" x14ac:dyDescent="0.25"><c r21"3195" s="9" t="str"><f t="shared" si="235"/><v/></c><c r=1U3199" t="str"><f t="shared" si="236"/><v/></c><c r=1"3102" t="str"><f t="shared" si="237"/><v/></c><c r=1U3199" t="str"><f t="shared" sitared" si="237"/><v/><1"3195"U3193" t="str"><f t="shared" si="234"/><v/></c><c r="1U3199" t="str"><f t="shared" si="239"/><v/></c></row><row r2"3200" spans="19:29" x14ac:dyDescent="0.25"><c r=2"3205" s="9" t="str"><f t="shared" si="235"/><v/></c><c r=2"3202" t="str"><f t="shared" si="236"/><v/></c><c r=2"3202" t="str"><f t="shared" si="237"/><v/></c><c r=2"3202" t="str"><f t="shared" sitared" si="237"/><v/><2"3205"U3193" t="str"><f t="shared" si="234"/><v/></c><c r="2"3202" t="str"><f t="shared" si="239"/><v/></c></row><row r2"3201" spans="19:29" x14ac:dyDescent="0.25"><c r=2"3205" s="9" t="str"><f t="shared" si="235"/><v/></c><c r=2S3102" t="str"><f t="shared" si="236"/><v/></c><c r=2"3202" t="str"><f t="shared" si="237"/><v/></c><c r=2"3202" t="str"><f t="shared" sitared" si="237"/><v/><2B3201" s="3" t="str"><f t="shared" sstr"><f t="shared" si="2"3202" t="str"><f t="shared" si="239"/><v/></c></row><row r2"3202" spans="19:29" x14ac:dyDescent="0.25"><c r=2S3192" s="9" t="str"><f t="shared" si="235"/><v/></c><c r=2S3102" t="str"><f t="shared" si="236"/><v/></c><c r=2V3202" t="str"><f t="shared" si="237"/><v/></c><c r=2S3102" t="str"><f t="shared" sitared" si="237"/><v/><2B3192" s="3" t="str"><f t="shared" sstr"><f t="shared" si="2S3102" t="str"><f t="shared" si="239"/><v/></c></row><row r2"3203" spans="19:29" x14ac:dyDescent="0.25"><c r=2S3193" s="9" t="str"><f t="shared" si="235"/><v/></c><c r=2S3102" t="str"><f t="shared" si="236"/><v/></c><c r=2U3193" t="str"><f t="shared" si="237"/><v/></c><c r=2S3102" t="str"><f t="shared" sitared" si="237"/><v/><2B3203" s="3" t="str"><f t="shared" si="234"/><v/></c><c r="2S3102" t="str"><f t="shared" si="239"/><v/></c></row><row r2"3204" spans="19:29" x14ac:dyDescent="0.25"><c r=2S3194" s="9" t="str"><f t="shared" si="235"/><v/></c><c r=2S3102" t="str"><f t="shared" si="236"/><v/></c><c r=2S3102" t="str"><f t="shared" si="237"/><v/></c><c r=2S3102" t="str"><f t="shared" sitared" si="237"/><v/><2B3204" s="3" t="str"><f t="shared" si="234"/><v/></c><c r="2S3102" t="str"><f t="shared" si="239"/><v/></c></row><row r2"3205" spans="19:29" x14ac:dyDescent="0.25"><c r=2S3195" s="9" t="str"><f t="shared" si="235"/><v/></c><c r=2S3102" t="str"><f t="shared" si="236"/><v/></c><c r=2S3102" t="str"><f t="shared" si="237"/><v/></c><c r=2S3102" t="str"><f t="shared" sitared" si="237"/><v/><2B3205" s="3" t="str"><f t="shared" si="234"/><v/></c><c r="2S3102" t="str"><f t="shared" si="239"/><v/></c></row><row r2"3206" spans="19:29" x14ac:dyDescent="0.25"><c r=2S3206" s="9" t="str"><f t="shared" si="235"/><v/></c><c r=2S3202" t="str"><f t="shared" si="236"/><v/></c><c r=2"3202" t="str"><f t="shared" si="237"/><v/></c><c r=2S3202" t="str"><f t="shared" sitared" si="237"/><v/><2B3206" s="3" t="str"><f t="shared" si="234"/><v/></c><c r="2S3202" t="str"><f t="shared" si="239"/><v/></c></row><row r2"3207" spans="19:29" x14ac:dyDescent="0.25"><c r=2S3207" s="9" t="str"><f t="shared" si="235"/><v/></c><c r=2S3202" t="str"><f t="shared" si="236"/><v/></c><c r=2"3202" t="str"><f t="shared" si="237"/><v/></c><c r=2S3202" t="str"><f t="shared" sitared" si="237"/><v/><2B3207" s="3" t="str"><f t="shared" si="234"/><v/></c><c r="2S3202" t="str"><f t="shared" si="239"/><v/></c></row><row r2"3208" spans="19:29" x14ac:dyDescent="0.25"><c r=2S3208" s="9" t="str"><f t="shared" si="235"/><v/></c><c r=2S3202" t="str"><f t="shared" si="236"/><v/></c><c r=2"3202" t="str"><f t="shared" si="237"/><v/></c><c r=2S3202" t="str"><f t="shared" sitared" si="237"/><v/><2c><c r="V3207" t="str/c><cs3201" t="str"><f t="shared" si="2S3202" t="str"><f t="shared" si="239"/><v/></c></row><row r2"3199" spans="19:29" x14ac:dyDescent="0.25"><c r22S3199" s="9" t="str"><f t="shared" si="235"/><v/></c><c r=2S3102" t="str"><f t="shared" si="236"/><v/></c><c r=2"3102" t="str"><f t="shared" si="237"/><v/></c><c r=2S3102" t="str"><f t="shared" sitared" si="237"/><v/><2B3199" s="3" t="str"><f t="shared" sstr"><f t="shared" si="2S3102" t="str"><f t="shared" si="239"/><v/></c></row><row ri=" spans="19:2S31x14ac:dyDescen02"0.2S3></c><c203i=" s5" s="9" t="str"><f t="shared" si="235"/><v/></c><c r=i=" 02" t="str"><f t="shared" si="236"/><v/></c><c r=i=" 02" t="str"><f t="shared" si="237"/><v/></c><c r=i=" 02" t="str"><f t="shared" sitared" si="237"/><v/><i=" s5"U3193" t="str"><f t="shared" si="234"/><v/></c><c r="i=" 02" t="str"><f t="shared" si="239"/><v/></c></row><row ri"3201" spans="19:29" x14ac:dyDescent="0.25"><c r=3S3191" s="9" t="str"><f t="shared" si="235"/><v/></c><c r=3S3102" t="str"><f t="shared" si="236"/><v/></c><c r=i"3202" t="str"><f t="shared" si="237"/><v/></c><c r=3S3102" t="str"><f t="shared" sitared" si="237"/><v/><iB3201" s="3" t="str"><f t="shared" sstr"><f t="shared" si="3S3102" t="str"><f t="shared" si="239"/><v/></c></row><row ri"3202" spans="19:29" x14ac:dyDescent="0.25"><c r=3S3192" s="9" t="str"><f t="shared" si="235"/><v/></c><c r=3S3102" t="str"><f t="shared" si="236"/><v/></c><c r=iV3202" t="str"><f t="shared" si="237"/><v/></c><c r=3S3102" t="str"><f t="shared" sitared" si="237"/><v/><iB3192" s="3" t="str"><f t="shared" sstr"><f t="shared" si="3S3102" t="str"><f t="shared" si="239"/><v/></c></row><row ri"3203" spans="19:29" x14ac:dyDescent="0.25"><c r=3S3193" s="9" t="str"><f t="shared" si="235"/><v/></c><c r=3S3102" t="str"><f t="shared" si="236"/><v/></c><c r=iU3193" t="str"><f t="shared" si="237"/><v/></c><c r=3S3102" t="str"><f t="shared" sitared" si="237"/><v/><iB3203" s="3" t="str"><f t="shared" si="234"/><v/></c><c r="3S3102" t="str"><f t="shared" si="239"/><v/></c></row><row ri"3204" spans="19:29" x14ac:dyDescent="0.25"><c r=str s=""3102" t="str"><f t="shared" si="235"/><v/></c><c r=str 02" t="str"><f t="shared" si="236"/><v/></c><c r=iS3102" t="str"><f t="shared" si="237"/><v/></c><c r=str 02" t="str"><f t="shared" sitared" si="237"/><v/><iB3204" s="3" t="str"><f t="shared" si="234"/><v/></c><c r="str 02" t="str"><f t="shared" si="239"/><v/></c></row><row ri"3205" spans="19:29" x14ac:dyDescent="0.25"><c r=i=" s=""3102" t="str"><f t="shared" si="235"/><v/></c><c r=sS3102" t="str"><f t="shared" si="236"/><v/></c><c r=i=" 02" t="str"><f t="shared" si="237"/><v/></c><c r=i=" 02" t="str"><f t="shared" sitared" si="237"/><v/><iB3205" s="3" t="str"><f t="shared" si="234"/><v/></c><c r="i=" 02" t="str"><f t="shared" si="239"/><v/></c></row><row ri"3206" spans="19:29" x14ac:dyDescent="0.25"><c r=3S3206" s="9" t="str"><f t="shared" si="235"/><v/></c><c r=3S3202" t="str"><f t="shared" si="236"/><v/></c><c r=i"3202" t="str"><f t="shared" si="237"/><v/></c><c r=3S3202" t="str"><f t="shared" sitared" si="237"/><v/><iB3206" s="3" t="str"><f t="shared" si="234"/><v/></c><c r="3S3202" t="str"><f t="shared" si="239"/><v/></c></row><row ri"3207" spans="19:29" x14ac:dyDescent="0.25"><c r=3S3207" s="9" t="str"><f t="shared" si="235"/><v/></c><c r=3S3202" t="str"><f t="shared" si="236"/><v/></c><c r=i"3202" t="str"><f t="shared" si="237"/><v/></c><c r=3S3202" t="str"><f t="shared" sitared" si="237"/><v/><iB3207" s="3" t="str"><f t="shared" si="234"/><v/></c><c r="3S3202" t="str"><f t="shared" si="239"/><v/></c></row><row ri"3208" spans="19:29" x14ac:dyDescent="0.25"><c r=3S3208" s="9" t="str"><f t="shared" si="235"/><v/></c><c r=3S3202" t="str"><f t="shared" si="236"/><v/></c><c r=i"3202" t="str"><f t="shared" si="237"/><v/></c><c r=3S3202" t="str"><f t="shared" sitared" si="237"/><v/><ic><c r="V3207" t="str/c><cs3201" t="str"><f t="shared" si="3S3202" t="str"><f t="shared" si="239"/><v/></c></row><row ri"3199" spans="19:29" x14ac:dyDescent="0.25"><c r23S3199" s="9" t="str"><f t="shared" si="235"/><v/></c><c r=3S3102" t="str"><f t="shared" si="236"/><v/></c><c r=i"3102" t="str"><f t="shared" si="237"/><v/></c><c r=3S3102" t="str"><f t="shared" sitared" si="237"/><v/><iB3199" s="3" t="str"><f t="shared" sstr"><f t="shared" si="3S3102" t="str"><f t="shared" si="239"/><v/></c></row><row r4=" spans="19:2S31x14ac:dyDescen02"0.2S3></c><c2034=" s=""3102" t="str"><f t="shared" si="235"/><v/></c><c r=4=" 02" t="str"><f t="shared" si="236"/><v/></c><c r=4=" 02" t="str"><f t="shared" si="237"/><v/></c><c r=4=" 02" t="str"><f t="shared" sitared" si="237"/><v/><4=" s="U3193" t="str"><f t="shared" si="234"/><v/></c><c r="4=" 02" t="str"><f t="shared" si="239"/><v/></c></row><row r4"3201" spans="19:29" x14ac:dyDescent="0.25"><c r=4S3191" s="9" t="str"><f t="shared" si="235"/><v/></c><c r=4S3102" t="str"><f t="shared" si="236"/><v/></c><c r=4"3202" t="str"><f t="shared" si="237"/><v/></c><c r=4S3102" t="str"><f t="shared" sitared" si="237"/><v/><4B3201" s="3" t="str"><f t="shared" sstr"><f t="shared" si="4S3102" t="str"><f t="shared" si="239"/><v/></c></row><row r4"3202" spans="19:29" x14ac:dyDescent="0.25"><c r=4S3192" s="9" t="str"><f t="shared" si="235"/><v/></c><c r=4S3102" t="str"><f t="shared" si="236"/><v/></c><c r=4V3202" t="str"><f t="shared" si="237"/><v/></c><c r=4S3102" t="str"><f t="shared" sitared" si="237"/><v/><4B3192" s="3" t="str"><f t="shared" sstr"><f t="shared" si="4S3102" t="str"><f t="shared" si="239"/><v/></c></row><row r4"3203" spans="19:29" x14ac:dyDescent="0.25"><c r=4S3193" s="9" t="str"><f t="shared" si="235"/><v/></c><c r=4S3102" t="str"><f t="shared" si="236"/><v/></c><c r=4U3193" t="str"><f t="shared" si="237"/><v/></c><c r=4S3102" t="str"><f t="shared" sitared" si="237"/><v/><4B3203" s="3" t="str"><f t="shared" si="234"/><v/></c><c r="4S3102" t="str"><f t="shared" si="239"/><v/></c></row><row r4"3204" spans="19:29" x14ac:dyDescent="0.25"><c r=4tr s=""3102" t="str"><f t="shared" si="235"/><v/></c><c r=4tr 02" t="str"><f t="shared" si="236"/><v/></c><c r=4S3102" t="str"><f t="shared" si="237"/><v/></c><c r=4tr 02" t="str"><f t="shared" sitared" si="237"/><v/><4B3204" s="3" t="str"><f t="shared" si="234"/><v/></c><c r="4tr 02" t="str"><f t="shared" si="239"/><v/></c></row><row r4"3205" spans="19:29" x14ac:dyDescent="0.25"><c r=4=" s=""3102" t="str"><f t="shared" si="235"/><v/></c><c r=4=" 02" t="str"><f t="shared" si="236"/><v/></c><c r=4=" 02" t="str"><f t="shared" si="237"/><v/></c><c r=4=" 02" t="str"><f t="shared" sitared" si="237"/><v/><4B3205" s="3" t="str"><f t="shared" si="234"/><v/></c><c r="4=" 02" t="str"><f t="shared" si="239"/><v/></c></row><row r4"3206" spans="19:29" x14ac:dyDescent="0.25"><c r=4S3206" s="9" t="str"><f t="shared" si="235"/><v/></c><c r=4S3202" t="str"><f t="shared" si="236"/><v/></c><c r=4"3202" t="str"><f t="shared" si="237"/><v/></c><c r=4S3202" t="str"><f t="shared" sitared" si="237"/><v/><4B3206" s="3" t="str"><f t="shared" si="234"/><v/></c><c r="4S3202" t="str"><f t="shared" si="239"/><v/></c></row><row r4"3207" spans="19:29" x14ac:dyDescent="0.25"><c r=4S3207" s="9" t="str"><f t="shared" si="235"/><v/></c><c r=4S3202" t="str"><f t="shared" si="236"/><v/></c><c r=4"3202" t="str"><f t="shared" si="237"/><v/></c><c r=4S3202" t="str"><f t="shared" sitared" si="237"/><v/><4B3207" s="3" t="str"><f t="shared" si="234"/><v/></c><c r="4S3202" t="str"><f t="shared" si="239"/><v/></c></row><row r4"3208" spans="19:29" x14ac:dyDescent="0.25"><c r=4S3208" s="9" t="str"><f t="shared" si="235"/><v/></c><c r=4S3202" t="str"><f t="shared" si="236"/><v/></c><c r=4"3202" t="str"><f t="shared" si="237"/><v/></c><c r=4S3202" t="str"><f t="shared" sitared" si="237"/><v/><4c><c r="V3207" t="str/c><cs3201" t="str"><f t="shared" si="4S3202" t="str"><f t="shared" si="239"/><v/></c></row><row r4"3199" spans="19:29" x14ac:dyDescent="0.25"><c r24S3199" s="9" t="str"><f t="shared" si="235"/><v/></c><c r=4S3102" t="str"><f t="shared" si="236"/><v/></c><c r=4"3102" t="str"><f t="shared" si="237"/><v/></c><c r=4S3102" t="str"><f t="shared" sitared" si="237"/><v/><4B3199" s="3" t="str"><f t="shared" sstr"><f t="shared" si="4S3102" t="str"><f t="shared" si="239"/><v/></c></row><row r5=" spans="19:2S31x14ac:dyDescen02"0.2S3></c><c2035=" s=""3102" t="str"><f t="shared" si="235"/><v/></c><c r=5=" 02" t="str"><f t="shared" si="236"/><v/></c><c r=5=" 02" t="str"><f t="shared" si="237"/><v/></c><c r=5=" 02" t="str"><f t="shared" sitared" si="237"/><v/><5=" s="U3193" t="str"><f t="shared" si="234"/><v/></c><c r="5=" 02" t="str"><f t="shared" si="239"/><v/></c></row><row r5"3201" spans="19:29" x14ac:dyDescent="0.25"><c r=5S3191" s="9" t="str"><f t="shared" si="235"/><v/></c><c r=5S3102" t="str"><f t="shared" si="236"/><v/></c><c r=5"3202" t="str"><f t="shared" si="237"/><v/></c><c r=5S3102" t="str"><f t="shared" sitared" si="237"/><v/><5B3201" s="3" t="str"><f t="shared" sstr"><f t="shared" si="5S3102" t="str"><f t="shared" si="239"/><v/></c></row><row r5"3202" spans="19:29" x14ac:dyDescent="0.25"><c r=5S3192" s="9" t="str"><f t="shared" si="235"/><v/></c><c r=5S3102" t="str"><f t="shared" si="236"/><v/></c><c r=5V3202" t="str"><f t="shared" si="237"/><v/></c><c r=5S3102" t="str"><f t="shared" sitared" si="237"/><v/><5B3192" s="3" t="str"><f t="shared" sstr"><f t="shared" si="5S3102" t="str"><f t="shared" si="239"/><v/></c></row><row r5"3203" spans="19:29" x14ac:dyDescent="0.25"><c r=5S3193" s="9" t="str"><f t="shared" si="235"/><v/></c><c r=5S3102" t="str"><f t="shared" si="236"/><v/></c><c r=5U3193" t="str"><f t="shared" si="237"/><v/></c><c r=5S3102" t="str"><f t="shared" sitared" si="237"/><v/><5B3203" s="3" t="str"><f t="shared" si="234"/><v/></c><c r="5S3102" t="str"><f t="shared" si="239"/><v/></c></row><row r5"3204" spans="19:29" x14ac:dyDescent="0.25"><c r=5tr s=""3102" t="str"><f t="shared" si="235"/><v/></c><c r=5tr 02" t="str"><f t="shared" si="236"/><v/></c><c r=5S3102" t="str"><f t="shared" si="237"/><v/></c><c r=5tr 02" t="str"><f t="shared" sitared" si="237"/><v/><5B3204" s="3" t="str"><f t="shared" si="234"/><v/></c><c r="5tr 02" t="str"><f t="shared" si="239"/><v/></c></row><row r5"3205" spans="19:29" x14ac:dyDescent="0.25"><c r=5=" s=""3102" t="str"><f t="shared" si="235"/><v/></c><c r=5=" 02" t="str"><f t="shared" si="236"/><v/></c><c r=5=" 02" t="str"><f t="shared" si="237"/><v/></c><c r=5=" 02" t="str"><f t="shared" sitared" si="237"/><v/><5B3205" s="3" t="str"><f t="shared" si="234"/><v/></c><c r="5=" 02" t="str"><f t="shared" si="239"/><v/></c></row><row r5"3206" spans="19:29" x14ac:dyDescent="0.25"><c r=5S3206" s="9" t="str"><f t="shared" si="235"/><v/></c><c r=5S3202" t="str"><f t="shared" si="236"/><v/></c><c r=5"3202" t="str"><f t="shared" si="237"/><v/></c><c r=5S3202" t="str"><f t="shared" sitared" si="237"/><v/><5B3206" s="3" t="str"><f t="shared" si="234"/><v/></c><c r="5S3202" t="str"><f t="shared" si="239"/><v/></c></row><row r5"3207" spans="19:29" x14ac:dyDescent="0.25"><c r=5S3207" s="9" t="str"><f t="shared" si="235"/><v/></c><c r=5S3202" t="str"><f t="shared" si="236"/><v/></c><c r=5"3202" t="str"><f t="shared" si="237"/><v/></c><c r=5S3202" t="str"><f t="shared" sitared" si="237"/><v/><5B3207" s="3" t="str"><f t="shared" si="234"/><v/></c><c r="5S3202" t="str"><f t="shared" si="239"/><v/></c></row><row r5"3208" spans="19:29" x14ac:dyDescent="0.25"><c r=5S3208" s="9" t="str"><f t="shared" si="235"/><v/></c><c r=5S3202" t="str"><f t="shared" si="236"/><v/></c><c r=5"3202" t="str"><f t="shared" si="237"/><v/></c><c r=5S3202" t="str"><f t="shared" sitared" si="237"/><v/><5c><c r="V3207" t="str/c><cs3201" t="str"><f t="shared" si="5S3202" t="str"><f t="shared" si="239"/><v/></c></row><row r5"3199" spans="19:29" x14ac:dyDescent="0.25"><c r25S3199" s="9" t="str"><f t="shared" si="235"/><v/></c><c r=5S3102" t="str"><f t="shared" si="236"/><v/></c><c r=5"3102" t="str"><f t="shared" si="237"/><v/></c><c r=5S3102" t="str"><f t="shared" sitared" si="237"/><v/><5B3199" s="3" t="str"><f t="shared" sstr"><f t="shared" si="5S3102" t="str"><f t="shared" si="239"/><v/></c></row><row r6=" spans="19:2S31x14ac:dyDescen02"0.2S3></c><c2036=" s=""3102" t="str"><f t="shared" si="235"/><v/></c><c r=6=" 02" t="str"><f t="shared" si="236"/><v/></c><c r=6=" 02" t="str"><f t="shared" si="237"/><v/></c><c r=6=" 02" t="str"><f t="shared" sitared" si="237"/><v/><6=" s="U3193" t="str"><f t="shared" si="234"/><v/></c><c r="6=" 02" t="str"><f t="shared" si="239"/><v/></c></row><row r6"3201" spans="19:29" x14ac:dyDescent="0.25"><c r=6S3191" s="9" t="str"><f t="shared" si="235"/><v/></c><c r=6S3102" t="str"><f t="shared" si="236"/><v/></c><c r=6"3202" t="str"><f t="shared" si="237"/><v/></c><c r=6S3102" t="str"><f t="shared" sitared" si="237"/><v/><6B3201" s="3" t="str"><f t="shared" sstr"><f t="shared" si="6S3102" t="str"><f t="shared" si="239"/><v/></c></row><row r6"3202" spans="19:29" x14ac:dyDescent="0.25"><c r=6S3192" s="9" t="str"><f t="shared" si="235"/><v/></c><c r=6S3102" t="str"><f t="shared" si="236"/><v/></c><c r=6V3202" t="str"><f t="shared" si="237"/><v/></c><c r=6S3102" t="str"><f t="shared" sitared" si="237"/><v/><6B3192" s="3" t="str"><f t="shared" sstr"><f t="shared" si="6S3102" t="str"><f t="shared" si="239"/><v/></c></row><row r6"3203" spans="19:29" x14ac:dyDescent="0.25"><c r=6S3193" s="9" t="str"><f t="shared" si="235"/><v/></c><c r=6S3102" t="str"><f t="shared" si="236"/><v/></c><c r=6U3193" t="str"><f t="shared" si="237"/><v/></c><c r=6S3102" t="str"><f t="shared" sitared" si="237"/><v/><6B3203" s="3" t="str"><f t="shared" si="234"/><v/></c><c r="6S3102" t="str"><f t="shared" si="239"/><v/></c></row><row r6"3204" spans="19:29" x14ac:dyDescent="0.25"><c r=6tr s=""3102" t="str"><f t="shared" si="235"/><v/></c><c r=6tr 02" t="str"><f t="shared" si="236"/><v/></c><c r=6S3102" t="str"><f t="shared" si="237"/><v/></c><c r=6tr 02" t="str"><f t="shared" sitared" si="237"/><v/><6B3204" s="3" t="str"><f t="shared" si="234"/><v/></c><c r="6tr 02" t="str"><f t="shared" si="239"/><v/></c></row><row r6"3205" spans="19:29" x14ac:dyDescent="0.25"><c r=AB326=""3102" t="str"><f t="shared" si="235"/><v/></c><c r=6=" 02" t="str"><f t="shared" si="236"/><v/></c><c r=AB3202" t="str"><f t="shared" si="237"/><v/></c><c r=6B3202" t="str"><f t="shared" sitared" si="237"/><v/><6B3205" s="3" t="str"><f t="shared" si="234"/><v/></c><c r="AB3202" t="str"><f t="shared" si="239"/><v/></c></row><row r6"3206" spans="19:29" x14ac:dyDescent="0.25"><c r=AC326=""3102" t="str"><f t="shared" si="235"/><v/></c><c r=6S3202" t="str"><f t="shared" si="236"/><v/></c><c r=AC3202" t="str"><f t="shared" si="237"/><v/></c><c r=6C3202" t="str"><f t="shared" sitared" si="237"/><v/><6B3206" s="3" t="str"><f t="shared" ref="66320232S3196" s4="234">IF(ISBLANK663202),"", "10")</f><v/></c><c r="AC3202" t="str"><f t="shared" si="239"/><v/></c></row><row r6"3207" spans="19:29" x14ac:dyDescent="0.25"><c r=6S3207" s="9" t="str"><f t="shared" ref=673203i=" s6" s41"234">IF(ISBLANK673203),""673203 )</f><v/></c><c r=6S3202" t="str"><f t="shared" ref=673T03i=" s6" s42"234">IF(ISBLANK673203),""673203 )</f><v/></c><c203:S3202" t="str"><f t="shared" r203:S3203i=" s6" s43"234">IF(ISBLANK673203),""673203 )</f><v/></c><c203:S3202" t="str"><f t="shared" r203:S3203i=" s6" s4="234">IF(ISBLANK673203) "", "SHOP_SKU")</f><v/></c><c r="6S3207"U3193" t="str"><f t="shared" s4="234"/><v/></c><c r=":S3202" t="str"><f t="shared" ref="673ef=3i=" s6" s4="235">IF(ISBLANK673203) "", "New")</f><v/></c></row><row r6"3208" spans="19:29" x14ac:dyDescent="0.25"><c r=6"320=""3102" t="str"><f t="shared" s4S3235"/><v/></c><c r=6"3202" t="str"><f t="shared" s4S3235"/><v/></c><c203:"3202" t="str"><f t="shared" s4="233"/><v/></c><c r=:"3202" t="str"><f t="shared" s4="234"/><v/></c><c r="6"320="U3193" t="str"><f t="shared" s4="234"/><v/></c><c r=":"3202" t="str"><f t="shared" s4="235"/><v/></c></row><row r6"3199" spans="19:29" x14ac:dyDescent="0.25"><c r26"319=""3102" t="str"><f t="shared" s4S3235"/><v/></c><c r=6"3102" t="str"><f t="shared" s4S3235"/><v/></c><c203:"3102" t="str"><f t="shared" s4="233"/><v/></c><c r=:"3102" t="str"><f t="shared" s4="234"/><v/></c><c r="6B3199" s="3" t="str"><f t="shared" s4="234"/><v/></c><c r=":"3102" t="str"><f t="shared" s4="235"/><v/></c></row><row r7=" spans="19:2S31x14ac:dyDescen02"0.2S3></c><c2037=" s=""3102" t="str"><f t="shared" s4S3235"/><v/></c><c r=7=" 02" t="str"><f t="shared" s4S3235"/><v/></c><c2037=" 02" t="str"><f t="shared" s4="233"/><v/></c><c r=7=" 02" t="str"><f t="shared" s4="234"/><v/></c><c r="7=" s="U3193" t="str"><f t="shared" s4="234"/><v/></c><c r="7=" 02" t="str"><f t="shared" s4="235"/><v/></c></row><row r7"3201" spans="19:29" x14ac:dyDescent="0.25"><c r=7S3191" s="9" t="str"><f t="shared" s4S3235"/><v/></c><c r=7S3102" t="str"><f t="shared" s4S3235"/><v/></c><c2037S3102" t="str"><f t="shared" s4="233"/><v/></c><c r=7S3102" t="str"><f t="shared" s4="234"/><v/></c><c r="7B3201" s="3" t="str"><f t="shared" s4="234"/><v/></c><c r="7S3102" t="str"><f t="shared" s4="235"/><v/></c></row><row r7"3202" spans="19:29" x14ac:dyDescent="0.25"><c r=7S3192" s="9" t="str"><f t="shared" s4S3235"/><v/></c><c r=7V3202" t="str"><f t="shared" s4S3235"/><v/></c><c2037S3102" t="str"><f t="shared" s4="233"/><v/></c><c r=7S3102" t="str"><f t="shared" s4="234"/><v/></c><c r="7B3192" s="3" t="str"><f t="shared" s4="234"/><v/></c><c r="7S3102" t="str"><f t="shared" s4="235"/><v/></c></row><row r7"3203" spans="19:29" x14ac:dyDescent="0.25"><c r=7S3193" s="9" t="str"><f t="shared" s4S3235"/><v/></c><c r=7U3193" t="str"><f t="shared" s4S3235"/><v/></c><c2037S3102" t="str"><f t="shared" s4="233"/><v/></c><c r=7S3102" t="str"><f t="shared" s4="234"/><v/></c><c r="7B3203" s="3" t="str"><f t="shared" s4="234"/><v/></c><c r="7S3102" t="str"><f t="shared" s4="235"/><v/></c></row><row r7"3204" spans="19:29" x14ac:dyDescent="0.25"><c r=7tr s=""3102" t="str"><f t="shared" s4S3235"/><v/></c><c r=7S3102" t="str"><f t="shared" s4S3235"/><v/></c><c2037S3102" t="str"><f t="shared" s4="233"/><v/></c><c r=7S3102" t="str"><f t="shared" s4="234"/><v/></c><c r="7B3204" s="3" t="str"><f t="shared" s4="234"/><v/></c><c r="7S3102" t="str"><f t="shared" s4="235"/><v/></c></row><row r7"3205" spans="19:29" x14ac:dyDescent="0.25"><c r=7=" s=""3102" t="str"><f t="shared" s4S3235"/><v/></c><c r=7B3202" t="str"><f t="shared" s4S3235"/><v/></c><c2037B3202" t="str"><f t="shared" s4="233"/><v/></c><c r=7B3202" t="str"><f t="shared" s4="234"/><v/></c><c r="7B3205" s="3" t="str"><f t="shared" s4="234"/><v/></c><c r="7B3202" t="str"><f t="shared" s4="235"/><v/></c></row><row r7"3206" spans="19:29" x14ac:dyDescent="0.25"><c r=7S3206" s="9" t="str"><f t="shared" s4S3235"/><v/></c><c r=7C3202" t="str"><f t="shared" s4S3235"/><v/></c><c2037C3202" t="str"><f t="shared" s4="233"/><v/></c><c r=7C3202" t="str"><f t="shared" s4="234"/><v/></c><c r="7B3206" s="3" t="str"><f t="shared" s4="234"/><v/></c><c r="7C3202" t="str"><f t="shared" s4="235"/><v/></c></row><row r7"3207" spans="19:29" x14ac:dyDescent="0.25"><c r=7S3207" s="9" t="str"><f t="shared" s4S3235"/><v/></c><c r=7"3202" t="str"><f t="shared" s4S3235"/><v/></c><c2037"3202" t="str"><f t="shared" s4="233"/><v/></c><c r=7"3202" t="str"><f t="shared" s4="234"/><v/></c><c r="7B3207" s="3" t="str"><f t="shared" s4="234"/><v/></c><c r="7"3202" t="str"><f t="shared" s4="235"/><v/></c></row><row r7"3208" spans="19:29" x14ac:dyDescent="0.25"><c r=7S3208" s="9" t="str"><f t="shared" s4S3235"/><v/></c><c r=7"3202" t="str"><f t="shared" s4S3235"/><v/></c><c2037S3202" t="str"><f t="shared" s4="233"/><v/></c><c r=7S3202" t="str"><f t="shared" s4="234"/><v/></c><c r="7c><c r="V3207" t="str/c><cs3201" t="4="234"/><v/></c><c r="7"3202" t="str"><f t="shared" s4="235"/><v/></c></row><row r7"3199" spans="19:29" x14ac:dyDescent="0.25"><c r27"319=""3102" t="str"><f t="shared" s4S3235"/><v/></c><c r=7"3102" t="str"><f t="shared" s4S3235"/><v/></c><c2037"3102" t="str"><f t="shared" s4="233"/><v/></c><c r=7"3102" t="str"><f t="shared" s4="234"/><v/></c><c r="7"319="U3193" t="str"><f t="shared" s4="234"/><v/></c><c r="7"3102" t="str"><f t="shared" s4="235"/><v/></c></row><row r8=" spans="19:2S31x14ac:dyDescen02"0.2S3></c><c2038=" s=""3102" t="str"><f t="shared" s4S3235"/><v/></c><c r=8=" 02" t="str"><f t="shared" s4S3235"/><v/></c><c2038=" 02" t="str"><f t="shared" s4="233"/><v/></c><c r=8=" 02" t="str"><f t="shared" s4="234"/><v/></c><c r="8=" s="U3193" t="str"><f t="shared" s4="234"/><v/></c><c r="8=" 02" t="str"><f t="shared" s4="235"/><v/></c></row><row r8"3201" spans="19:29" x14ac:dyDescent="0.25"><c r=8"320=""3102" t="str"><f t="shared" s4S3235"/><v/></c><c r=8S3102" t="str"><f t="shared" s4S3235"/><v/></c><c2038"3202" t="str"><f t="shared" s4="233"/><v/></c><c r=8"3202" t="str"><f t="shared" s4="234"/><v/></c><c r="8B3201" s="3" t="str"><f t="shared" s4="234"/><v/></c><c r="8"3202" t="str"><f t="shared" s4="235"/><v/></c></row><row r8"3202" spans="19:29" x14ac:dyDescent="0.25"><c r=8S3192" s="9" t="str"><f t="shared" s4S3235"/><v/></c><c r=8S3102" t="str"><f t="shared" s4S3235"/><v/></c><c2038S3102" t="str"><f t="shared" s4="233"/><v/></c><c r=8S3102" t="str"><f t="shared" s4="234"/><v/></c><c r="8B3192" s="3" t="str"><f t="shared" s4="234"/><v/></c><c r="8S3102" t="str"><f t="shared" s4="235"/><v/></c></row><row r8"3203" spans="19:29" x14ac:dyDescent="0.25"><c r=8S3193" s="9" t="str"><f t="shared" s4S3235"/><v/></c><c r=8S3102" t="str"><f t="shared" s4S3235"/><v/></c><c2038S3102" t="str"><f t="shared" s4="233"/><v/></c><c r=8S3102" t="str"><f t="shared" s4="234"/><v/></c><c r="8B3203" s="3" t="str"><f t="shared" s4="234"/><v/></c><c r="8S3102" t="str"><f t="shared" s4="235"/><v/></c></row><row r8"3204" spans="19:29" x14ac:dyDescent="0.25"><c r=8tr s=""3102" t="str"><f t="shared" s4S3235"/><v/></c><c r=8tr 02" t="str"><f t="shared" s4S3235"/><v/></c><c2038S3102" t="str"><f t="shared" s4="233"/><v/></c><c r=8tr 02" t="str"><f t="shared" s4="234"/><v/></c><c r="8B3204" s="3" t="str"><f t="shared" s4="234"/><v/></c><c r="8tr 02" t="str"><f t="shared" s4="235"/><v/></c></row><row r8"3205" spans="19:29" x14ac:dyDescent="0.25"><c r=8=" s=""3102" t="str"><f t="shared" s4S3235"/><v/></c><c r=8=" 02" t="str"><f t="shared" s4S3235"/><v/></c><c2038B3202" t="str"><f t="shared" s4="233"/><v/></c><c r=8=" 02" t="str"><f t="shared" s4="234"/><v/></c><c r="8B3205" s="3" t="str"><f t="shared" s4="234"/><v/></c><c r="8=" 02" t="str"><f t="shared" s4="235"/><v/></c></row><row r8"3206" spans="19:29" x14ac:dyDescent="0.25"><c r=8S3206" s="9" t="str"><f t="shared" s4S3235"/><v/></c><c r=8S3202" t="str"><f t="shared" s4S3235"/><v/></c><c2038C3202" t="str"><f t="shared" s4="233"/><v/></c><c r=8S3202" t="str"><f t="shared" s4="234"/><v/></c><c r="8B3206" s="3" t="str"><f t="shared" s4="234"/><v/></c><c r="8S3202" t="str"><f t="shared" s4="235"/><v/></c></row><row r8"3207" spans="19:29" x14ac:dyDescent="0.25"><c r=8S3207" s="9" t="str"><f t="shared" s4S3235"/><v/></c><c r=8S3202" t="str"><f t="shared" s4S3235"/><v/></c><c2038"3202" t="str"><f t="shared" s4="233"/><v/></c><c r=8S3202" t="str"><f t="shared" s4="234"/><v/></c><c r="8B3207" s="3" t="str"><f t="shared" s4="234"/><v/></c><c r="8S3202" t="str"><f t="shared" s4="235"/><v/></c></row><row r8"3208" spans="19:29" x14ac:dyDescent="0.25"><c r=8S3208" s="9" t="str"><f t="shared" s4S3235"/><v/></c><c r=8S3202" t="str"><f t="shared" s4S3235"/><v/></c><c2038S3202" t="str"><f t="shared" s4="233"/><v/></c><c r=8S3202" t="str"><f t="shared" s4="234"/><v/></c><c r="8c><c r="V3207" t="str/c><cs3201" t="4="234"/><v/></c><c r="8S3202" t="str"><f t="shared" s4="235"/><v/></c></row><row r8"3199" spans="19:29" x14ac:dyDescent="0.25"><c r28S3199" s="9" t="str"><f t="shared" s4S3235"/><v/></c><c r=8S3102" t="str"><f t="shared" s4S3235"/><v/></c><c2038"3102" t="str"><f t="shared" s4="233"/><v/></c><c r=8S3102" t="str"><f t="shared" s4="234"/><v/></c><c r="8B3199" s="3" t="str"><f t="shared" s4="234"/><v/></c><c r="8S3102" t="str"><f t="shared" s4="235"/><v/></c></row><row r9=" spans="19:2S31x14ac:dyDescen02"0.2S3></c><c2039=" s=""3102" t="str"><f t="shared" s4S3235"/><v/></c><c r=9=" 02" t="str"><f t="shared" s4S3235"/><v/></c><c2039=" 02" t="str"><f t="shared" s4="233"/><v/></c><c r=9=" 02" t="str"><f t="shared" s4="234"/><v/></c><c r="9=" s="U3193" t="str"><f t="shared" s4="234"/><v/></c><c r="9=" 02" t="str"><f t="shared" s4="235"/><v/></c></row><row r9"3201" spans="19:29" x14ac:dyDescent="0.25"><c r=9S3191" s="9" t="str"><f t="shared" s4S3235"/><v/></c><c r=9S3102" t="str"><f t="shared" s4S3235"/><v/></c><c2039"3202" t="str"><f t="shared" s4="233"/><v/></c><c r=9S3102" t="str"><f t="shared" s4="234"/><v/></c><c r="9B3201" s="3" t="str"><f t="shared" s4="234"/><v/></c><c r="9S3102" t="str"><f t="shared" s4="235"/><v/></c></row><row r9"3202" spans="19:29" x14ac:dyDescent="0.25"><c r=9S3192" s="9" t="str"><f t="shared" s4S3235"/><v/></c><c r=9S3102" t="str"><f t="shared" s4S3235"/><v/></c><c2039S3102" t="str"><f t="shared" s4="233"/><v/></c><c r=9S3102" t="str"><f t="shared" s4="234"/><v/></c><c r="9B3192" s="3" t="str"><f t="shared" s4="234"/><v/></c><c r="9S3102" t="str"><f t="shared" s4="235"/><v/></c></row><row r9"3203" spans="19:29" x14ac:dyDescent="0.25"><c r=9S3193" s="9" t="str"><f t="shared" s4S3235"/><v/></c><c r=9S3102" t="str"><f t="shared" s4S3235"/><v/></c><c2039S3102" t="str"><f t="shared" s4="233"/><v/></c><c r=9S3102" t="str"><f t="shared" s4="234"/><v/></c><c r="9B3203" s="3" t="str"><f t="shared" s4="234"/><v/></c><c r="9S3102" t="str"><f t="shared" s4="235"/><v/></c></row><row r9"3204" spans="19:29" x14ac:dyDescent="0.25"><c r=9tr s=""3102" t="str"><f t="shared" s4S3235"/><v/></c><c r=9tr 02" t="str"><f t="shared" s4S3235"/><v/></c><c2039S3102" t="str"><f t="shared" s4="233"/><v/></c><c r=9tr 02" t="str"><f t="shared" s4="234"/><v/></c><c r="9B3204" s="3" t="str"><f t="shared" s4="234"/><v/></c><c r="9tr 02" t="str"><f t="shared" s4="235"/><v/></c></row><row r9"3205" spans="19:29" x14ac:dyDescent="0.25"><c r=9=" s=""3102" t="str"><f t="shared" s4S3235"/><v/></c><c r=9=" 02" t="str"><f t="shared" s4S3235"/><v/></c><c2039B3202" t="str"><f t="shared" s4="233"/><v/></c><c r=9=" 02" t="str"><f t="shared" s4="234"/><v/></c><c r="9B3205" s="3" t="str"><f t="shared" s4="234"/><v/></c><c r="9=" 02" t="str"><f t="shared" s4="235"/><v/></c></row><row r9"3206" spans="19:29" x14ac:dyDescent="0.25"><c r=9S3206" s="9" t="str"><f t="shared" s4S3235"/><v/></c><c r=9S3202" t="str"><f t="shared" s4S3235"/><v/></c><c2039C3202" t="str"><f t="shared" s4="233"/><v/></c><c r=9S3202" t="str"><f t="shared" s4="234"/><v/></c><c r="9B3206" s="3" t="str"><f t="shared" s4="234"/><v/></c><c r="9S3202" t="str"><f t="shared" s4="235"/><v/></c></row><row r9"3207" spans="19:29" x14ac:dyDescent="0.25"><c r=9S3207" s="9" t="str"><f t="shared" s4S3235"/><v/></c><c r=9S3202" t="str"><f t="shared" s4S3235"/><v/></c><c2039"3202" t="str"><f t="shared" s4="233"/><v/></c><c r=9S3202" t="str"><f t="shared" s4="234"/><v/></c><c r="9B3207" s="3" t="str"><f t="shared" s4="234"/><v/></c><c r="9S3202" t="str"><f t="shared" s4="235"/><v/></c></row><row r9"3208" spans="19:29" x14ac:dyDescent="0.25"><c r=9S3208" s="9" t="str"><f t="shared" s4S3235"/><v/></c><c r=9S3202" t="str"><f t="shared" s4S3235"/><v/></c><c2039S3202" t="str"><f t="shared" s4="233"/><v/></c><c r=9S3202" t="str"><f t="shared" s4="234"/><v/></c><c r="9c><c r="V3207" t="str/c><cs3201" t="4="234"/><v/></c><c r="9S3202" t="str"><f t="shared" s4="235"/><v/></c></row><row r9"3199" spans="19:29" x14ac:dyDescent="0.25"><c r29S3199" s="9" t="str"><f t="shared" s4S3235"/><v/></c><c r=9S3102" t="str"><f t="shared" s4S3235"/><v/></c><c2039"3102" t="str"><f t="shared" s4="233"/><v/></c><c r=9S3102" t="str"><f t="shared" s4="234"/><v/></c><c r="9B3199" s="3" t="str"><f t="shared" s4="234"/><v/></c><c r="9S3102" t="str"><f t="shared" s4="235"/><v/></c></row><row 30=" spans="19:2S31x14ac:dyDescen02"0.2S3></c><c2030=" s=""3102" t="str"><f t="shared" s4S3235"/><v/></c><c r30=" 02" t="str"><f t="shared" s4S3235"/><v/></c><c2030=" 02" t="str"><f t="shared" s4="233"/><v/></c><c r30=" 02" t="str"><f t="shared" s4="234"/><v/></c><c r=30=" s="U3193" t="str"><f t="shared" s4="234"/><v/></c><c r=30=" 02" t="str"><f t="shared" s4="235"/><v/></c></row><row 30"3201" spans="19:29" x14ac:dyDescent="0.25"><c r30S3191" s="9" t="str"><f t="shared" s4S3235"/><v/></c><c r30S3102" t="str"><f t="shared" s4S3235"/><v/></c><c2030"3202" t="str"><f t="shared" s4="233"/><v/></c><c r30S3102" t="str"><f t="shared" s4="234"/><v/></c><c r=30B3201" s="3" t="str"><f t="shared" s4="234"/><v/></c><c r=30S3102" t="str"><f t="shared" s4="235"/><v/></c></row><row 30"3202" spans="19:29" x14ac:dyDescent="0.25"><c r30S3192" s="9" t="str"><f t="shared" s4S3235"/><v/></c><c r30S3102" t="str"><f t="shared" s4S3235"/><v/></c><c2030S3102" t="str"><f t="shared" s4="233"/><v/></c><c r30S3102" t="str"><f t="shared" s4="234"/><v/></c><c r=30B3192" s="3" t="str"><f t="shared" s4="234"/><v/></c><c r=30S3102" t="str"><f t="shared" s4="235"/><v/></c></row><row 30"3203" spans="19:29" x14ac:dyDescent="0.25"><c r30S3193" s="9" t="str"><f t="shared" s4S3235"/><v/></c><c r30S3102" t="str"><f t="shared" s4S3235"/><v/></c><c2030S3102" t="str"><f t="shared" s4="233"/><v/></c><c r30S3102" t="str"><f t="shared" s4="234"/><v/></c><c r=30B3203" s="3" t="str"><f t="shared" s4="234"/><v/></c><c r=30S3102" t="str"><f t="shared" s4="235"/><v/></c></row><row 30"3204" spans="19:29" x14ac:dyDescent="0.25"><c r30tr s=""3102" t="str"><f t="shared" s4S3235"/><v/></c><c r30tr 02" t="str"><f t="shared" s4S3235"/><v/></c><c2030S3102" t="str"><f t="shared" s4="233"/><v/></c><c r30tr 02" t="str"><f t="shared" s4="234"/><v/></c><c r=30B3204" s="3" t="str"><f t="shared" s4="234"/><v/></c><c r=30tr 02" t="str"><f t="shared" s4="235"/><v/></c></row><row 30"3205" spans="19:29" x14ac:dyDescent="0.25"><c r30=" s=""3102" t="str"><f t="shared" s4S3235"/><v/></c><c r30=" 02" t="str"><f t="shared" s4S3235"/><v/></c><c2030B3202" t="str"><f t="shared" s4="233"/><v/></c><c r30=" 02" t="str"><f t="shared" s4="234"/><v/></c><c r=30B3205" s="3" t="str"><f t="shared" s4="234"/><v/></c><c r=30=" 02" t="str"><f t="shared" s4="235"/><v/></c></row><row 30"3206" spans="19:29" x14ac:dyDescent="0.25"><c r30S3206" s="9" t="str"><f t="shared" s4S3235"/><v/></c><c r30S3202" t="str"><f t="shared" s4S3235"/><v/></c><c2030C3202" t="str"><f t="shared" s4="233"/><v/></c><c r30S3202" t="str"><f t="shared" s4="234"/><v/></c><c r=30B3206" s="3" t="str"><f t="shared" s4="234"/><v/></c><c r=30S3202" t="str"><f t="shared" s4="235"/><v/></c></row><row 30"3207" spans="19:29" x14ac:dyDescent="0.25"><c r30S3207" s="9" t="str"><f t="shared" s4S3235"/><v/></c><c r30S3202" t="str"><f t="shared" s4S3235"/><v/></c><c2030"3202" t="str"><f t="shared" s4="233"/><v/></c><c r30S3202" t="str"><f t="shared" s4="234"/><v/></c><c r=30B3207" s="3" t="str"><f t="shared" s4="234"/><v/></c><c r=30S3202" t="str"><f t="shared" s4="235"/><v/></c></row><row 30"3208" spans="19:29" x14ac:dyDescent="0.25"><c r30S3208" s="9" t="str"><f t="shared" s4S3235"/><v/></c><c r30S3202" t="str"><f t="shared" s4S3235"/><v/></c><c2030S3202" t="str"><f t="shared" s4="233"/><v/></c><c r30S3202" t="str"><f t="shared" s4="234"/><v/></c><c r=30c><c r="V3207" t="str/c><cs3201" t="4="234"/><v/></c><c r=30S3202" t="str"><f t="shared" s4="235"/><v/></c></row><row 30"3199" spans="19:29" x14ac:dyDescent="0.25"><c r30S3199" s="9" t="str"><f t="shared" s4S3235"/><v/></c><c r30S3102" t="str"><f t="shared" s4S3235"/><v/></c><c2030"3102" t="str"><f t="shared" s4="233"/><v/></c><c r30S3102" t="str"><f t="shared" s4="234"/><v/></c><c r=30B3199" s="3" t="str"><f t="shared" s4="234"/><v/></c><c r=30S3102" t="str"><f t="shared" s4="235"/><v/></c></row><row 31=" spans="19:2S31x14ac:dyDescen02"0.2S3></c><c2031=" s=""3102" t="str"><f t="shared" s4S3235"/><v/></c><c r31=" 02" t="str"><f t="shared" s4S3235"/><v/></c><c2031=" 02" t="str"><f t="shared" s4="233"/><v/></c><c r31=" 02" t="str"><f t="shared" s4="234"/><v/></c><c r=31=" s="U3193" t="str"><f t="shared" s4="234"/><v/></c><c r=31=" 02" t="str"><f t="shared" s4="235"/><v/></c></row><row 31"3201" spans="19:29" x14ac:dyDescent="0.25"><c r31S3191" s="9" t="str"><f t="shared" s4S3235"/><v/></c><c r31S3102" t="str"><f t="shared" s4S3235"/><v/></c><c2031"3202" t="str"><f t="shared" s4="233"/><v/></c><c r31S3102" t="str"><f t="shared" s4="234"/><v/></c><c r=31B3201" s="3" t="str"><f t="shared" s4="234"/><v/></c><c r=31S3102" t="str"><f t="shared" s4="235"/><v/></c></row><row 31"3202" spans="19:29" x14ac:dyDescent="0.25"><c r31S3192" s="9" t="str"><f t="shared" s4S3235"/><v/></c><c r31S3102" t="str"><f t="shared" s4S3235"/><v/></c><c2031S3102" t="str"><f t="shared" s4="233"/><v/></c><c r31S3102" t="str"><f t="shared" s4="234"/><v/></c><c r=31B3192" s="3" t="str"><f t="shared" s4="234"/><v/></c><c r=31S3102" t="str"><f t="shared" s4="235"/><v/></c></row><row 31"3203" spans="19:29" x14ac:dyDescent="0.25"><c r31S3193" s="9" t="str"><f t="shared" s4S3235"/><v/></c><c r31S3102" t="str"><f t="shared" s4S3235"/><v/></c><c2031S3102" t="str"><f t="shared" s4="233"/><v/></c><c r31S3102" t="str"><f t="shared" s4="234"/><v/></c><c r=31B3203" s="3" t="str"><f t="shared" s4="234"/><v/></c><c r=31S3102" t="str"><f t="shared" s4="235"/><v/></c></row><row 31"3204" spans="19:29" x14ac:dyDescent="0.25"><c r31tr s=""3102" t="str"><f t="shared" s4S3235"/><v/></c><c r31tr 02" t="str"><f t="shared" s4S3235"/><v/></c><c2031S3102" t="str"><f t="shared" s4="233"/><v/></c><c r31tr 02" t="str"><f t="shared" s4="234"/><v/></c><c r=31B3204" s="3" t="str"><f t="shared" s4="234"/><v/></c><c r=31tr 02" t="str"><f t="shared" s4="235"/><v/></c></row><row 31"3205" spans="19:29" x14ac:dyDescent="0.25"><c r31=" s=""3102" t="str"><f t="shared" s4S3235"/><v/></c><c r31=" 02" t="str"><f t="shared" s4S3235"/><v/></c><c2031B3202" t="str"><f t="shared" s4="233"/><v/></c><c r31=" 02" t="str"><f t="shared" s4="234"/><v/></c><c r=31B3205" s="3" t="str"><f t="shared" s4="234"/><v/></c><c r=31=" 02" t="str"><f t="shared" s4="235"/><v/></c></row><row 31"3206" spans="19:29" x14ac:dyDescent="0.25"><c r31S3206" s="9" t="str"><f t="shared" s4S3235"/><v/></c><c r31S3202" t="str"><f t="shared" s4S3235"/><v/></c><c2031C3202" t="str"><f t="shared" s4="233"/><v/></c><c r31S3202" t="str"><f t="shared" s4="234"/><v/></c><c r=31B3206" s="3" t="str"><f t="shared" s4="234"/><v/></c><c r=31S3202" t="str"><f t="shared" s4="235"/><v/></c></row><row 31"3207" spans="19:29" x14ac:dyDescent="0.25"><c r31S3207" s="9" t="str"><f t="shared" s4S3235"/><v/></c><c r31S3202" t="str"><f t="shared" s4S3235"/><v/></c><c2031"3202" t="str"><f t="shared" s4="233"/><v/></c><c r31S3202" t="str"><f t="shared" s4="234"/><v/></c><c r=31B3207" s="3" t="str"><f t="shared" s4="234"/><v/></c><c r=31S3202" t="str"><f t="shared" s4="235"/><v/></c></row><row 31"3208" spans="19:29" x14ac:dyDescent="0.25"><c r31S3208" s="9" t="str"><f t="shared" s4S3235"/><v/></c><c r31S3202" t="str"><f t="shared" s4S3235"/><v/></c><c2031S3202" t="str"><f t="shared" s4="233"/><v/></c><c r31S3202" t="str"><f t="shared" s4="234"/><v/></c><c r=31c><c r="V3207" t="str/c><cs3201" t="4="234"/><v/></c><c r=31S3202" t="str"><f t="shared" s4="235"/><v/></c></row><row 31"3199" spans="19:29" x14ac:dyDescent="0.25"><c r31S3199" s="9" t="str"><f t="shared" s4S3235"/><v/></c><c r31S3102" t="str"><f t="shared" s4S3235"/><v/></c><c2031"3102" t="str"><f t="shared" s4="233"/><v/></c><c r31S3102" t="str"><f t="shared" s4="234"/><v/></c><c r=31B3199" s="3" t="str"><f t="shared" s4="234"/><v/></c><c r=31S3102" t="str"><f t="shared" s4="235"/><v/></c></row><row 32=" spans="19:2S31x14ac:dyDescen02"0.2S3></c><c2032=" s=""3102" t="str"><f t="shared" s4S3235"/><v/></c><c r32=" 02" t="str"><f t="shared" s4S3235"/><v/></c><c2032=" 02" t="str"><f t="shared" s4="233"/><v/></c><c r32=" 02" t="str"><f t="shared" s4="234"/><v/></c><c r=32=" s="U3193" t="str"><f t="shared" s4="234"/><v/></c><c r=32=" 02" t="str"><f t="shared" s4="235"/><v/></c></row><row 32"3201" spans="19:29" x14ac:dyDescent="0.25"><c r32S3191" s="9" t="str"><f t="shared" s4S3235"/><v/></c><c r32S3102" t="str"><f t="shared" s4S3235"/><v/></c><c2032"3202" t="str"><f t="shared" s4="233"/><v/></c><c r32S3102" t="str"><f t="shared" s4="234"/><v/></c><c r=32B3201" s="3" t="str"><f t="shared" s4="234"/><v/></c><c r=32S3102" t="str"><f t="shared" s4="235"/><v/></c></row><row 32"3202" spans="19:29" x14ac:dyDescent="0.25"><c r32S3192" s="9" t="str"><f t="shared" s4S3235"/><v/></c><c r32S3102" t="str"><f t="shared" s4S3235"/><v/></c><c2032S3102" t="str"><f t="shared" s4="233"/><v/></c><c r32S3102" t="str"><f t="shared" s4="234"/><v/></c><c r=32B3192" s="3" t="str"><f t="shared" s4="234"/><v/></c><c r=32S3102" t="str"><f t="shared" s4="235"/><v/></c></row><row 32"3203" spans="19:29" x14ac:dyDescent="0.25"><c r32S3193" s="9" t="str"><f t="shared" s4S3235"/><v/></c><c r32S3102" t="str"><f t="shared" s4S3235"/><v/></c><c2032S3102" t="str"><f t="shared" s4="233"/><v/></c><c r32S3102" t="str"><f t="shared" s4="234"/><v/></c><c r=32B3203" s="3" t="str"><f t="shared" s4="234"/><v/></c><c r=32S3102" t="str"><f t="shared" s4="235"/><v/></c></row><row 32"3204" spans="19:29" x14ac:dyDescent="0.25"><c r32tr s=""3102" t="str"><f t="shared" s4S3235"/><v/></c><c r32tr 02" t="str"><f t="shared" s4S3235"/><v/></c><c2032S3102" t="str"><f t="shared" s4="233"/><v/></c><c r32tr 02" t="str"><f t="shared" s4="234"/><v/></c><c r=32B3204" s="3" t="str"><f t="shared" s4="234"/><v/></c><c r=32tr 02" t="str"><f t="shared" s4="235"/><v/></c></row><row 32"3205" spans="19:29" x14ac:dyDescent="0.25"><c r32=" s=""3102" t="str"><f t="shared" s4S3235"/><v/></c><c r32=" 02" t="str"><f t="shared" s4S3235"/><v/></c><c2032B3202" t="str"><f t="shared" s4="233"/><v/></c><c r32=" 02" t="str"><f t="shared" s4="234"/><v/></c><c r=32B3205" s="3" t="str"><f t="shared" s4="234"/><v/></c><c r=32=" 02" t="str"><f t="shared" s4="235"/><v/></c></row><row 32"3206" spans="19:29" x14ac:dyDescent="0.25"><c r32S3206" s="9" t="str"><f t="shared" s4S3235"/><v/></c><c r32S3202" t="str"><f t="shared" s4S3235"/><v/></c><c2032C3202" t="str"><f t="shared" s4="233"/><v/></c><c r32S3202" t="str"><f t="shared" s4="234"/><v/></c><c r=32B3206" s="3" t="str"><f t="shared" s4="234"/><v/></c><c r=32S3202" t="str"><f t="shared" s4="235"/><v/></c></row><row 32"3207" spans="19:29" x14ac:dyDescent="0.25"><c r32S3207" s="9" t="str"><f t="shared" s4S3235"/><v/></c><c r32S3202" t="str"><f t="shared" s4S3235"/><v/></c><c2032"3202" t="str"><f t="shared" s4="233"/><v/></c><c r32S3202" t="str"><f t="shared" s4="234"/><v/></c><c r=32B3207" s="3" t="str"><f t="shared" s4="234"/><v/></c><c r=32S3202" t="str"><f t="shared" s4="235"/><v/></c></row><row 32"3208" spans="19:29" x14ac:dyDescent="0.25"><c r32S3208" s="9" t="str"><f t="shared" s4S3235"/><v/></c><c r32S3202" t="str"><f t="shared" s4S3235"/><v/></c><c2032S3202" t="str"><f t="shared" s4="233"/><v/></c><c r32S3202" t="str"><f t="shared" s4="234"/><v/></c><c r=32c><c r="V3207" t="str/c><cs3201" t="4="234"/><v/></c><c r=32S3202" t="str"><f t="shared" s4="235"/><v/></c></row><row 32"3199" spans="19:29" x14ac:dyDescent="0.25"><c r32S319=""3102" t="str"><f t="shared" s4S3235"/><v/></c><c r32S3102" t="str"><f t="shared" s4S3235"/><v/></c><c2032S3102" t="str"><f t="shared" s4="233"/><v/></c><c r32S3102" t="str"><f t="shared" s4="234"/><v/></c><c r=32B3199" s="3" t="str"><f t="shared" s4="234"/><v/></c><c r=32S3102" t="str"><f t="shared" s4="235"/><v/></c></row><row 3i=" spans="19:2S31x14ac:dyDescen02"0.2="></c><c203i=" s=""3102" t="str"><f t="shared" s4S3235"/><v/></c><c r3i=" 02" t="str"><f t="shared" s4S3235"/><v/></c><c203i=" 02" t="str"><f t="shared" s4="233"/><v/></c><c r3i=" 02" t="str"><f t="shared" s4="234"/><v/></c><c r=3i=" s="S3102" t="str"><f t="shared" ref=3i=320239S3196" s46"234">IF(ISBLAN3i=3202),"", "10")</f><v/></c><c r=3i=" 02" t="str"><f t="shared" s4="235"/><v/></c></row><row 3i"3201" spans="19:29" x14ac:dyDescent="0.25"><c r33S3191" s="9" t="str"><f t="shared" ref33132039tr s6" s47"234">IF(ISBLAN3i13203),"3313203 )</f><v/></c><c r331" 02" t="str"><f t="shared" ref3313T039tr s6" s48"234">IF(ISBLAN3i13203),"3313203 )</f><v/></c><c203i1" 02" t="str"><f t="shared" r203i132039tr s6" s49"234">IF(ISBLAN3i13203),"3313203 )</f><v/></c><c203i1" 02" t="str"><f t="shared" r203i132039tr s6" s5="234">IF(ISBLAN3i13202),"", "SHOP_SKU")</f><v/></c><c r=3i1" s="S3102" t="str"><f t="shared" s46"234"/><v/></c><c r=3i1" 02" t="str"><f t="shared" ref=3i13ef=39tr s6" s51"234">IF(ISBLAN3i13202),"", "New")</f><v/></c></row><row 232" spans="19:2S31x14ac:dyDescen02"0.2="></c><c203iS3192" s="9" t="str"><f t="shared" s4="237"/><v/></c><cT03iS3102" t="str"><f t="shared" s4tared" si="237"/><203iS3102" t="str"><f t="shared" s4="239"/><v/></c><c r3iS3102" t="str"><f t="shared" s5="234"/><v/></c><c 02332" s="S3102" t="str"><f t="shared" s46"234"/><v/></c><c r=3iS3102" t="str"><f t="shared" s5S3234"/><v/></c></row><row 233" spans="19:2S31x14ac:dyDescen02"0.2="></c><c203iS3193" s="9" t="str"><f t="shared" s4="237"/><v/></c><cT03iS3102" t="str"><f t="shared" s4tared" si="237"/><203iS3102" t="str"><f t="shared" s4="239"/><v/></c><c r3iS3102" t="str"><f t="shared" s5="234"/><v/></c><c 0233B3203" s="3" t="str"><f t="shared" s46"234"/><v/></c><c r=3iS3102" t="str"><f t="shared" s5S3234"/><v/></c></row><row 23"3204" spans="19:29" x14ac:dyDescent="0.25"><c r33tr s=""3102" t="str"><f t="shared" s4="237"/><v/></c><cT03iS3102" t="str"><f t="shared" s4tared" si="237"/><203iS3102" t="str"><f t="shared" s4="239"/><v/></c><c r3iS3102" t="str"><f t="shared" s5="234"/><v/></c><c 0233B3204" s="3" t="str"><f t="shared" s46"234"/><v/></c><c r=3iS3102" t="str"><f t="shared" s5S3234"/><v/></c></row><row 23"3205" spans="19:29" x14ac:dyDescent="0.25"><c r33=" s=""3102" t="str"><f t="shared" s4="237"/><v/></c><cT03iB3202" t="str"><f t="shared" s4tared" si="237"/><203iB3202" t="str"><f t="shared" s4="239"/><v/></c><c r3iB3202" t="str"><f t="shared" s5="234"/><v/></c><c 0233B3205" s="3" t="str"><f t="shared" s46"234"/><v/></c><c r=3iB3202" t="str"><f t="shared" s5S3234"/><v/></c></row><row 23"3206" spans="19:29" x14ac:dyDescent="0.25"><c r33S3206" s="9" t="str"><f t="shared" s4="237"/><v/></c><cT03iC3202" t="str"><f t="shared" s4tared" si="237"/><203iC3202" t="str"><f t="shared" s4="239"/><v/></c><c r3iC3202" t="str"><f t="shared" s5="234"/><v/></c><c 0233B3206" s="3" t="str"><f t="shared" s46"234"/><v/></c><c r=3iC3202" t="str"><f t="shared" s5S3234"/><v/></c></row><row 23"3207" spans="19:29" x14ac:dyDescent="0.25"><c r33S3207" s="9" t="str"><f t="shared" s4="237"/><v/></c><cT03i"3202" t="str"><f t="shared" s4tared" si="237"/><203i"3202" t="str"><f t="shared" s4="239"/><v/></c><c r3i"3202" t="str"><f t="shared" s5="234"/><v/></c><c 0233B3207" s="3" t="str"><f t="shared" s46"234"/><v/></c><c r=3i"3202" t="str"><f t="shared" s5S3234"/><v/></c></row><row 23"3208" spans="19:29" x14ac:dyDescent="0.25"><c r33S3208" s="9" t="str"><f t="shared" s4="237"/><v/></c><cT03iS3202" t="str"><f t="shared" s4tared" si="237"/><203iS3202" t="str"><f t="shared" s4="239"/><v/></c><c r3iS3202" t="str"><f t="shared" s5="234"/><v/></c><c 0233c><c r="V3207" t="str/c><cs3201" t="46"234"/><v/></c><c r=3iS3202" t="str"><f t="shared" s5S3234"/><v/></c></row><row 23"3199" spans="19:29" x14ac:dyDescent="0.25"><c r33S3199" s="9" t="str"><f t="shared" s4="237"/><v/></c><cT03iS3102" t="str"><f t="shared" s4tared" si="237"/><203iS3102" t="str"><f t="shared" s4="239"/><v/></c><c r3iS3102" t="str"><f t="shared" s5="234"/><v/></c><c 0233B3199" s="3" t="str"><f t="shared" s46"234"/><v/></c><c r=3iS3102" t="str"><f t="shared" s5S3234"/><v/></c></row><row 24=" spans="19:2S31x14ac:dyDescen02"0.2="></c><c2034=" s=""3102" t="str"><f t="shared" s4="237"/><v/></c><cT034=" 02" t="str"><f t="shared" s4tared" si="237"/><2034=" 02" t="str"><f t="shared" s4="239"/><v/></c><c r34=" 02" t="str"><f t="shared" s5="234"/><v/></c><c 0234=" s="S3102" t="str"><f t="shared" s46"234"/><v/></c><c r=34=" 02" t="str"><f t="shared" s5S3234"/><v/></c></row><row 24"3201" spans="19:29" x14ac:dyDescent="0.25"><c r34S3 s="S3102" t="str"><f t="shared" s4="237"/><v/></c><cT034"3202" t="str"><f t="shared" s4tared" si="237"/><2034"3202" t="str"><f t="shared" s4="239"/><v/></c><c r34"3202" t="str"><f t="shared" s5="234"/><v/></c><c 0234B3201" s="3" t="str"><f t="shared" s46"234"/><v/></c><c r=34S3 02" t="str"><f t="shared" s5S3234"/><v/></c></row><row 24S3 spans="19:2S31x14ac:dyDescen02"0.2="></c><c2034S3192" s="9" t="str"><f t="shared" s4="237"/><v/></c><cT034S3 02" t="str"><f t="shared" s4tared" si="237"/><2034S3102" t="str"><f t="shared" s4="239"/><v/></c><c r34S3 02" t="str"><f t="shared" s5="234"/><v/></c><c 0234B3192" s="3" t="str"><f t="shared" s46"234"/><v/></c><c r=34S3102" t="str"><f t="shared" s5S3234"/><v/></c></row><row 243" spans="19:2S31x14ac:dyDescen02"0.2="></c><c20343" s="S3102" t="str"><f t="shared" s4="237"/><v/></c><cT034S3102" t="str"><f t="shared" s4tared" si="237"/><20343" 02" t="str"><f t="shared" s4="239"/><v/></c><c r34S3102" t="str"><f t="shared" s5="234"/><v/></c><c 02343" s="S3102" t="str"><f t="shared" s46"234"/><v/></c><c r=34S3102" t="str"><f t="shared" s5S3234"/><v/></c></row><row 24"3204" spans="19:29" x14ac:dyDescent="0.25"><c r34"320="S3102" t="str"><f t="shared" s4="237"/><v/></c><cT034S3102" t="str"><f t="shared" s4tared" si="237"/><2034"3202" t="str"><f t="shared" s4="239"/><v/></c><c r34S3102" t="str"><f t="shared" s5="234"/><v/></c><c 0234"320="S3102" t="str"><f t="shared" s46"234"/><v/></c><c r=34S3102" t="str"><f t="shared" s5S3234"/><v/></c></row><row 24"3205" spans="19:29" x14ac:dyDescent="0.25"><c r34"320="S3102" t="str"><f t="shared" s4="237"/><v/></c><cT034B3202" t="str"><f t="shared" s4tared" si="237"/><2034"3202" t="str"><f t="shared" s4="239"/><v/></c><c r34B3202" t="str"><f t="shared" s5="234"/><v/></c><c 0234"320="S3102" t="str"><f t="shared" s46"234"/><v/></c><c r=34B3202" t="str"><f t="shared" s5S3234"/><v/></c></row><row 24"3206" spans="19:29" x14ac:dyDescent="0.25"><c r34"320="S3102" t="str"><f t="shared" s4="237"/><v/></c><cT034C3202" t="str"><f t="shared" s4tared" si="237"/><2034"3202" t="str"><f t="shared" s4="239"/><v/></c><c r34C3202" t="str"><f t="shared" s5="234"/><v/></c><c 0234"320="S3102" t="str"><f t="shared" s46"234"/><v/></c><c r=34C3202" t="str"><f t="shared" s5S3234"/><v/></c></row><row 24"3207" spans="19:29" x14ac:dyDescent="0.25"><c r34"320="S3102" t="str"><f t="shared" s4="237"/><v/></c><cT034"3202" t="str"><f t="shared" s4tared" si="237"/><2034"3202" t="str"><f t="shared" s4="239"/><v/></c><c r34"3202" t="str"><f t="shared" s5="234"/><v/></c><c 0234"320="S3102" t="str"><f t="shared" s46"234"/><v/></c><c r=34"3202" t="str"><f t="shared" s5S3234"/><v/></c></row><row 24"3208" spans="19:29" x14ac:dyDescent="0.25"><c r34"320="S3102" t="str"><f t="shared" s4="237"/><v/></c><cT034S3202" t="str"><f t="shared" s4tared" si="237"/><2034"3202" t="str"><f t="shared" s4="239"/><v/></c><c r34S3202" t="str"><f t="shared" s5="234"/><v/></c><c 0234"320="S3102" t="str"><f t="shared" s46"234"/><v/></c><c r=34S3202" t="str"><f t="shared" s5S3234"/><v/></c></row><row 24"3199" spans="19:29" x14ac:dyDescent="0.25"><c r34"319="S3102" t="str"><f t="shared" s4="237"/><v/></c><cT034S3102" t="str"><f t="shared" s4tared" si="237"/><2034"3102" t="str"><f t="shared" s4="239"/><v/></c><c r34S3102" t="str"><f t="shared" s5="234"/><v/></c><c 0234"319="S3102" t="str"><f t="shared" s46"234"/><v/></c><c r=34S3102" t="str"><f t="shared" s5S3234"/><v/></c></row><row 25=" spans="19:2S31x14ac:dyDescen02"0.2="></c><c2035=" s="S3102" t="str"><f t="shared" s4="237"/><v/></c><cT035=" 02" t="str"><f t="shared" s4tared" si="237"/><2035=" 02" t="str"><f t="shared" s4="239"/><v/></c><c r35=" 02" t="str"><f t="shared" s5="234"/><v/></c><c 0235=" s="S3102" t="str"><f t="shared" s46"234"/><v/></c><c r=35=" 02" t="str"><f t="shared" s5S3234"/><v/></c></row><row 25S3 spans="19:2S31x14ac:dyDescen02"0.2="></c><c2035S3 s="S3102" t="str"><f t="shared" s4="237"/><v/></c><cT035S3 02" t="str"><f t="shared" s4tared" si="237"/><2035"3202" t="str"><f t="shared" s4="239"/><v/></c><c r35S3 02" t="str"><f t="shared" s5="234"/><v/></c><c 0235B3201" s="3" t="str"><f t="shared" s46"234"/><v/></c><c r=35S3 02" t="str"><f t="shared" s5S3234"/><v/></c></row><row 25S3 spans="19:2S31x14ac:dyDescen02"0.2="></c><c2035S3192" s="9" t="str"><f t="shared" s4="237"/><v/></c><cT035S3102" t="str"><f t="shared" s4tared" si="237"/><2035S3102" t="str"><f t="shared" s4="239"/><v/></c><c r35S3102" t="str"><f t="shared" s5="234"/><v/></c><c 0235B3192" s="3" t="str"><f t="shared" s46"234"/><v/></c><c r=35S3102" t="str"><f t="shared" s5S3234"/><v/></c></row><row 253" spans="19:2S31x14ac:dyDescen02"0.2="></c><c20353" s="S3102" t="str"><f t="shared" s4="237"/><v/></c><cT035S3102" t="str"><f t="shared" s4tared" si="237"/><20353" 02" t="str"><f t="shared" s4="239"/><v/></c><c r353" 02" t="str"><f t="shared" s5="234"/><v/></c><c 02353" s="S3102" t="str"><f t="shared" s46"234"/><v/></c><c r=35S3102" t="str"><f t="shared" s5S3234"/><v/></c></row><row 25"3204" spans="19:29" x14ac:dyDescent="0.25"><c r35"320="S3102" t="str"><f t="shared" s4="237"/><v/></c><cT035S3102" t="str"><f t="shared" s4tared" si="237"/><2035"3202" t="str"><f t="shared" s4="239"/><v/></c><c r35S3102" t="str"><f t="shared" s5="234"/><v/></c><c 0235"320="S3102" t="str"><f t="shared" s46"234"/><v/></c><c r=35S3102" t="str"><f t="shared" s5S3234"/><v/></c></row><row 25"3205" spans="19:29" x14ac:dyDescent="0.25"><c r35"320="S3102" t="str"><f t="shared" s4="237"/><v/></c><cT035B3202" t="str"><f t="shared" s4tared" si="237"/><2035"3202" t="str"><f t="shared" s4="239"/><v/></c><c r35B3202" t="str"><f t="shared" s5="234"/><v/></c><c 0235"320="S3102" t="str"><f t="shared" s46"234"/><v/></c><c r=35B3202" t="str"><f t="shared" s5S3234"/><v/></c></row><row 25"3206" spans="19:29" x14ac:dyDescent="0.25"><c r35"320="S3102" t="str"><f t="shared" s4="237"/><v/></c><cT035C3202" t="str"><f t="shared" s4tared" si="237"/><2035"3202" t="str"><f t="shared" s4="239"/><v/></c><c r35C3202" t="str"><f t="shared" s5="234"/><v/></c><c 0235"320="S3102" t="str"><f t="shared" s46"234"/><v/></c><c r=35C3202" t="str"><f t="shared" s5S3234"/><v/></c></row><row 25"3207" spans="19:29" x14ac:dyDescent="0.25"><c r35"320="S3102" t="str"><f t="shared" s4="237"/><v/></c><cT035"3202" t="str"><f t="shared" s4tared" si="237"/><2035"3202" t="str"><f t="shared" s4="239"/><v/></c><c r35"3202" t="str"><f t="shared" s5="234"/><v/></c><c 0235"320="S3102" t="str"><f t="shared" s46"234"/><v/></c><c r=35"3202" t="str"><f t="shared" s5S3234"/><v/></c></row><row 25"3208" spans="19:29" x14ac:dyDescent="0.25"><c r35"320="S3102" t="str"><f t="shared" s4="237"/><v/></c><cT035S3202" t="str"><f t="shared" s4tared" si="237"/><2035"3202" t="str"><f t="shared" s4="239"/><v/></c><c r35S3202" t="str"><f t="shared" s5="234"/><v/></c><c 0235"320="S3102" t="str"><f t="shared" s46"234"/><v/></c><c r=35S3202" t="str"><f t="shared" s5S3234"/><v/></c></row><row 25"3199" spans="19:29" x14ac:dyDescent="0.25"><c r35"319="S3102" t="str"><f t="shared" s4="237"/><v/></c><cT035S3102" t="str"><f t="shared" s4tared" si="237"/><2035"3102" t="str"><f t="shared" s4="239"/><v/></c><c r35S3102" t="str"><f t="shared" s5="234"/><v/></c><c 0235"319="S3102" t="str"><f t="shared" s46"234"/><v/></c><c r=35S3102" t="str"><f t="shared" s5S3234"/><v/></c></row><row 26=" spans="19:2S31x14ac:dyDescen02"0.2="></c><c2036=" s="S3102" t="str"><f t="shared" s4="237"/><v/></c><cT036=" 02" t="str"><f t="shared" s4tared" si="237"/><2036=" 02" t="str"><f t="shared" s4="239"/><v/></c><c r36=" 02" t="str"><f t="shared" s5="234"/><v/></c><c 0236=" s="S3102" t="str"><f t="shared" s46"234"/><v/></c><c r=36=" 02" t="str"><f t="shared" s5S3234"/><v/></c></row><row 26S3 spans="19:2S31x14ac:dyDescen02"0.2="></c><c2036S3 s="S3102" t="str"><f t="shared" s4="237"/><v/></c><cT036S3 02" t="str"><f t="shared" s4tared" si="237"/><2036S3 02" t="str"><f t="shared" s4="239"/><v/></c><c r36S3 02" t="str"><f t="shared" s5="234"/><v/></c><c 0236B3201" s="3" t="str"><f t="shared" s46"234"/><v/></c><c r=36S3 02" t="str"><f t="shared" s5S3234"/><v/></c></row><row 26S3 spans="19:2S31x14ac:dyDescen02"0.2="></c><c2036S3192" s="9" t="str"><f t="shared" s4="237"/><v/></c><cT036S3102" t="str"><f t="shared" s4tared" si="237"/><2036S3102" t="str"><f t="shared" s4="239"/><v/></c><c r36S3102" t="str"><f t="shared" s5="234"/><v/></c><c 0236B3192" s="3" t="str"><f t="shared" s46"234"/><v/></c><c r=36S3102" t="str"><f t="shared" s5S3234"/><v/></c></row><row 263" spans="19:2S31x14ac:dyDescen02"0.2="></c><c20363" s="S3102" t="str"><f t="shared" s4="237"/><v/></c><cT0363" 02" t="str"><f t="shared" s4tared" si="237"/><20363" 02" t="str"><f t="shared" s4="239"/><v/></c><c r363" 02" t="str"><f t="shared" s5="234"/><v/></c><c 02363" s="S3102" t="str"><f t="shared" s46"234"/><v/></c><c r=363" 02" t="str"><f t="shared" s5S3234"/><v/></c></row><row 26"3204" spans="19:29" x14ac:dyDescent="0.25"><c r36B3204"S3102" t="str"><f t="shared" s4="237"/><v/></c><cT036B3202" t="str"><f t="shared" s4tared" si="237"/><2036"3202" t="str"><f t="shared" s4="239"/><v/></c><c r36B3202" t="str"><f t="shared" s5="234"/><v/></c><c 0236B3204" s="3" t="str"><f t="shared" s46"234"/><v/></c><c r=36B3202" t="str"><f t="shared" s5S3234"/><v/></c></row><row 26"3205" spans="19:29" x14ac:dyDescent="0.25"><c r36B3205"S3102" t="str"><f t="shared" s4="237"/><v/></c><cT036B3202" t="str"><f t="shared" s4tared" si="237"/><2036B3202" t="str"><f t="shared" s4="239"/><v/></c><c r36B3202" t="str"><f t="shared" s5="234"/><v/></c><c 0236B3205"S3102" t="str"><f t="shared" s46"234"/><v/></c><c r=36B3202" t="str"><f t="shared" s5S3234"/><v/></c></row><row 26"3206" spans="19:29" x14ac:dyDescent="0.25"><c r36"320="S3102" t="str"><f t="shared" s4="237"/><v/></c><cT036C3202" t="str"><f t="shared" s4tared" si="237"/><2036"3202" t="str"><f t="shared" s4="239"/><v/></c><c r36C3202" t="str"><f t="shared" s5="234"/><v/></c><c 0236"320="S3102" t="str"><f t="shared" s46"234"/><v/></c><c r=36C3202" t="str"><f t="shared" s5S3234"/><v/></c></row><row 26"3207" spans="19:29" x14ac:dyDescent="0.25"><c r36"320="S3102" t="str"><f t="shared" s4="237"/><v/></c><cT036"3202" t="str"><f t="shared" s4tared" si="237"/><2036"3202" t="str"><f t="shared" s4="239"/><v/></c><c r36"3202" t="str"><f t="shared" s5="234"/><v/></c><c 0236"320="S3102" t="str"><f t="shared" s46"234"/><v/></c><c r=36"3202" t="str"><f t="shared" s5S3234"/><v/></c></row><row 26"3208" spans="19:29" x14ac:dyDescent="0.25"><c r36"320="S3102" t="str"><f t="shared" s4="237"/><v/></c><cT036S3202" t="str"><f t="shared" s4tared" si="237"/><2036"3202" t="str"><f t="shared" s4="239"/><v/></c><c r36S3202" t="str"><f t="shared" s5="234"/><v/></c><c 0236"320="S3102" t="str"><f t="shared" s46"234"/><v/></c><c r=36S3202" t="str"><f t="shared" s5S3234"/><v/></c></row><row 26"3199" spans="19:29" x14ac:dyDescent="0.25"><c r36"319="S3102" t="str"><f t="shared" s4="237"/><v/></c><cT036S3102" t="str"><f t="shared" s4tared" si="237"/><2036"3102" t="str"><f t="shared" s4="239"/><v/></c><c r36S3102" t="str"><f t="shared" s5="234"/><v/></c><c 0236"319="S3102" t="str"><f t="shared" s46"234"/><v/></c><c r=36S3102" t="str"><f t="shared" s5S3234"/><v/></c></row><row 27=" spans="19:2S31x14ac:dyDescen02"0.2="></c><c2037=" s="S3102" t="str"><f t="shared" s4="237"/><v/></c><cT037=" 02" t="str"><f t="shared" s4tared" si="237"/><2037=" 02" t="str"><f t="shared" s4="239"/><v/></c><c r37=" 02" t="str"><f t="shared" s5="234"/><v/></c><c 0237=" s="S3102" t="str"><f t="shared" s46"234"/><v/></c><c r=37=" 02" t="str"><f t="shared" s5S3234"/><v/></c></row><row 27S3 spans="19:2S31x14ac:dyDescen02"0.2="></c><c2037S3 s="S3102" t="str"><f t="shared" s4="237"/><v/></c><cT037S3 02" t="str"><f t="shared" s4tared" si="237"/><2037S3 02" t="str"><f t="shared" s4="239"/><v/></c><c r37S3 02" t="str"><f t="shared" s5="234"/><v/></c><c 0237B3201" s="3" t="str"><f t="shared" s46"234"/><v/></c><c r=37S3 02" t="str"><f t="shared" s5S3234"/><v/></c></row><row 27S3 spans="19:2S31x14ac:dyDescen02"0.2="></c><c2037S3192" s="9" t="str"><f t="shared" s4="237"/><v/></c><cT037S3102" t="str"><f t="shared" s4tared" si="237"/><2037S3102" t="str"><f t="shared" s4="239"/><v/></c><c r37S3102" t="str"><f t="shared" s5="234"/><v/></c><c 0237B3192" s="3" t="str"><f t="shared" s46"234"/><v/></c><c r=37S3102" t="str"><f t="shared" s5S3234"/><v/></c></row><row 273" spans="19:2S31x14ac:dyDescen02"0.2="></c><c20373" s="S3102" t="str"><f t="shared" s4="237"/><v/></c><cT0373" 02" t="str"><f t="shared" s4tared" si="237"/><20373" 02" t="str"><f t="shared" s4="239"/><v/></c><c r373" 02" t="str"><f t="shared" s5="234"/><v/></c><c 02373" s="S3102" t="str"><f t="shared" s46"234"/><v/></c><c r=373" 02" t="str"><f t="shared" s5S3234"/><v/></c></row><row 27"3204" spans="19:29" x14ac:dyDescent="0.25"><c r37B3204"S3102" t="str"><f t="shared" s4="237"/><v/></c><cT037B3202" t="str"><f t="shared" s4tared" si="237"/><2037"3202" t="str"><f t="shared" s4="239"/><v/></c><c r37B3202" t="str"><f t="shared" s5="234"/><v/></c><c 0237B3204" s="3" t="str"><f t="shared" s46"234"/><v/></c><c r=37B3202" t="str"><f t="shared" s5S3234"/><v/></c></row><row 27"3205" spans="19:29" x14ac:dyDescent="0.25"><c r37B3205"S3102" t="str"><f t="shared" s4="237"/><v/></c><cT037B3202" t="str"><f t="shared" s4tared" si="237"/><2037B3202" t="str"><f t="shared" s4="239"/><v/></c><c r37B3202" t="str"><f t="shared" s5="234"/><v/></c><c 0237B3205"S3102" t="str"><f t="shared" s46"234"/><v/></c><c r=37B3202" t="str"><f t="shared" s5S3234"/><v/></c></row><row 27"3206" spans="19:29" x14ac:dyDescent="0.25"><c r37"320="S3102" t="str"><f t="shared" s4="237"/><v/></c><cT037C3202" t="str"><f t="shared" s4tared" si="237"/><2037"3202" t="str"><f t="shared" s4="239"/><v/></c><c r37C3202" t="str"><f t="shared" s5="234"/><v/></c><c 0237"320="S3102" t="str"><f t="shared" s46"234"/><v/></c><c r=37C3202" t="str"><f t="shared" s5S3234"/><v/></c></row><row 27"3207" spans="19:29" x14ac:dyDescent="0.25"><c r37"320="S3102" t="str"><f t="shared" s4="237"/><v/></c><cT037"3202" t="str"><f t="shared" s4tared" si="237"/><2037"3202" t="str"><f t="shared" s4="239"/><v/></c><c r37"3202" t="str"><f t="shared" s5="234"/><v/></c><c 0237"320="S3102" t="str"><f t="shared" s46"234"/><v/></c><c r=37"3202" t="str"><f t="shared" s5S3234"/><v/></c></row><row 27"3208" spans="19:29" x14ac:dyDescent="0.25"><c r37"320="S3102" t="str"><f t="shared" s4="237"/><v/></c><cT037S3202" t="str"><f t="shared" s4tared" si="237"/><2037"3202" t="str"><f t="shared" s4="239"/><v/></c><c r37S3202" t="str"><f t="shared" s5="234"/><v/></c><c 0237"320="S3102" t="str"><f t="shared" s46"234"/><v/></c><c r=37S3202" t="str"><f t="shared" s5S3234"/><v/></c></row><row 27"3199" spans="19:29" x14ac:dyDescent="0.25"><c r37"319="S3102" t="str"><f t="shared" s4="237"/><v/></c><cT037S3102" t="str"><f t="shared" s4tared" si="237"/><2037"3102" t="str"><f t="shared" s4="239"/><v/></c><c r37S3102" t="str"><f t="shared" s5="234"/><v/></c><c 0237"319="S3102" t="str"><f t="shared" s46"234"/><v/></c><c r=37S3102" t="str"><f t="shared" s5S3234"/><v/></c></row><row 28=" spans="19:2S31x14ac:dyDescen02"0.2="></c><c2038=" s="S3102" t="str"><f t="shared" s4="237"/><v/></c><cT038=" 02" t="str"><f t="shared" s4tared" si="237"/><2038=" 02" t="str"><f t="shared" s4="239"/><v/></c><c r38=" 02" t="str"><f t="shared" s5="234"/><v/></c><c 0238=" s="S3102" t="str"><f t="shared" s46"234"/><v/></c><c r=38=" 02" t="str"><f t="shared" s5S3234"/><v/></c></row><row 28S3 spans="19:2S31x14ac:dyDescen02"0.2="></c><c2038S3 s="S3102" t="str"><f t="shared" s4="237"/><v/></c><cT038S3 02" t="str"><f t="shared" s4tared" si="237"/><2038S3 02" t="str"><f t="shared" s4="239"/><v/></c><c r38S3 02" t="str"><f t="shared" s5="234"/><v/></c><c 0238B3201" s="3" t="str"><f t="shared" s46"234"/><v/></c><c r=38S3 02" t="str"><f t="shared" s5S3234"/><v/></c></row><row 28S3 spans="19:2S31x14ac:dyDescen02"0.2="></c><c2038S3192" s="9" t="str"><f t="shared" s4="237"/><v/></c><cT038S3102" t="str"><f t="shared" s4tared" si="237"/><2038S3102" t="str"><f t="shared" s4="239"/><v/></c><c r38S3102" t="str"><f t="shared" s5="234"/><v/></c><c 0238B3192" s="3" t="str"><f t="shared" s46"234"/><v/></c><c r=38S3102" t="str"><f t="shared" s5S3234"/><v/></c></row><row 283" spans="19:2S31x14ac:dyDescen02"0.2="></c><c20383" s="S3102" t="str"><f t="shared" s4="237"/><v/></c><cT0383" 02" t="str"><f t="shared" s4tared" si="237"/><20383" 02" t="str"><f t="shared" s4="239"/><v/></c><c r383" 02" t="str"><f t="shared" s5="234"/><v/></c><c 02383" s="S3102" t="str"><f t="shared" s46"234"/><v/></c><c r=383" 02" t="str"><f t="shared" s5S3234"/><v/></c></row><row 28"3204" spans="19:29" x14ac:dyDescent="0.25"><c r38B3204"S3102" t="str"><f t="shared" s4="237"/><v/></c><cT038B3202" t="str"><f t="shared" s4tared" si="237"/><2038"3202" t="str"><f t="shared" s4="239"/><v/></c><c r38B3202" t="str"><f t="shared" s5="234"/><v/></c><c 0238B3204" s="3" t="str"><f t="shared" s46"234"/><v/></c><c r=38B3202" t="str"><f t="shared" s5S3234"/><v/></c></row><row 28"3205" spans="19:29" x14ac:dyDescent="0.25"><c r38B3205"S3102" t="str"><f t="shared" s4="237"/><v/></c><cT038B3202" t="str"><f t="shared" s4tared" si="237"/><2038B3202" t="str"><f t="shared" s4="239"/><v/></c><c r38B3202" t="str"><f t="shared" s5="234"/><v/></c><c 0238B3205"S3102" t="str"><f t="shared" s46"234"/><v/></c><c r=38B3202" t="str"><f t="shared" s5S3234"/><v/></c></row><row 28"3206" spans="19:29" x14ac:dyDescent="0.25"><c r38"320="S3102" t="str"><f t="shared" s4="237"/><v/></c><cT038C3202" t="str"><f t="shared" s4tared" si="237"/><2038"3202" t="str"><f t="shared" s4="239"/><v/></c><c r38C3202" t="str"><f t="shared" s5="234"/><v/></c><c 0238"320="S3102" t="str"><f t="shared" s46"234"/><v/></c><c r=38C3202" t="str"><f t="shared" s5S3234"/><v/></c></row><row 28"3207" spans="19:29" x14ac:dyDescent="0.25"><c r38"320="S3102" t="str"><f t="shared" s4="237"/><v/></c><cT038"3202" t="str"><f t="shared" s4tared" si="237"/><2038"3202" t="str"><f t="shared" s4="239"/><v/></c><c r38"3202" t="str"><f t="shared" s5="234"/><v/></c><c 0238"320="S3102" t="str"><f t="shared" s46"234"/><v/></c><c r=38"3202" t="str"><f t="shared" s5S3234"/><v/></c></row><row 28"3208" spans="19:29" x14ac:dyDescent="0.25"><c r38"320="S3102" t="str"><f t="shared" s4="237"/><v/></c><cT038S3202" t="str"><f t="shared" s4tared" si="237"/><2038"3202" t="str"><f t="shared" s4="239"/><v/></c><c r38S3202" t="str"><f t="shared" s5="234"/><v/></c><c 0238"320="S3102" t="str"><f t="shared" s46"234"/><v/></c><c r=38S3202" t="str"><f t="shared" s5S3234"/><v/></c></row><row 28"3199" spans="19:29" x14ac:dyDescent="0.25"><c r38"319="S3102" t="str"><f t="shared" s4="237"/><v/></c><cT038S3102" t="str"><f t="shared" s4tared" si="237"/><2038"3102" t="str"><f t="shared" s4="239"/><v/></c><c r38S3102" t="str"><f t="shared" s5="234"/><v/></c><c 0238"319="S3102" t="str"><f t="shared" s46"234"/><v/></c><c r=38S3102" t="str"><f t="shared" s5S3234"/><v/></c></row><row 29=" spans="19:2S31x14ac:dyDescen02"0.2="></c><c2039=" s="S3102" t="str"><f t="shared" s4="237"/><v/></c><cT039=" 02" t="str"><f t="shared" s4tared" si="237"/><2039=" 02" t="str"><f t="shared" s4="239"/><v/></c><c r39=" 02" t="str"><f t="shared" s5="234"/><v/></c><c 0239=" s="S3102" t="str"><f t="shared" s46"234"/><v/></c><c r=39=" 02" t="str"><f t="shared" s5S3234"/><v/></c></row><row 29S3 spans="19:2S31x14ac:dyDescen02"0.2="></c><c2039S3 s="S3102" t="str"><f t="shared" s4="237"/><v/></c><cT039S3 02" t="str"><f t="shared" s4tared" si="237"/><2039S3 02" t="str"><f t="shared" s4="239"/><v/></c><c r39S3 02" t="str"><f t="shared" s5="234"/><v/></c><c 0239B3201" s="3" t="str"><f t="shared" s46"234"/><v/></c><c r=39S3 02" t="str"><f t="shared" s5S3234"/><v/></c></row><row 29S3 spans="19:2S31x14ac:dyDescen02"0.2="></c><c2039S3192" s="9" t="str"><f t="shared" s4="237"/><v/></c><cT039S3102" t="str"><f t="shared" s4tared" si="237"/><2039S3102" t="str"><f t="shared" s4="239"/><v/></c><c r39S3102" t="str"><f t="shared" s5="234"/><v/></c><c 0239B3192" s="3" t="str"><f t="shared" s46"234"/><v/></c><c r=39S3102" t="str"><f t="shared" s5S3234"/><v/></c></row><row 293" spans="19:2S31x14ac:dyDescen02"0.2="></c><c2039S319="S3102" t="str"><f t="shared" s4="237"/><v/></c><cT0393" 02" t="str"><f t="shared" s4tared" si="237"/><2039S3102" t="str"><f t="shared" s4="239"/><v/></c><c r39S3102" t="str"><f t="shared" s5="234"/><v/></c><c 02393" s="S3102" t="str"><f t="shared" s46"234"/><v/></c><c r=39S3102" t="str"><f t="shared" s5S3234"/><v/></c></row><row 29tr spans="19:2S31x14ac:dyDescen02"0.2="></c><c2039tr s="S3102" t="str"><f t="shared" s4="237"/><v/></c><cT039B3202" t="str"><f t="shared" s4tared" si="237"/><2039tr 02" t="str"><f t="shared" s4="239"/><v/></c><c r39tr 02" t="str"><f t="shared" s5="234"/><v/></c><c 0239B3204" s="3" t="str"><f t="shared" ref=394320245"3206" s5S3234">IF(ISBLAN3943202),"", "10")</f><v/></c><c r=39tr 02" t="str"><f t="shared" s5S3234"/><v/></c></row><row 29"3205" spans="19:29" x14ac:dyDescent="0.25"><c r39B3205"S3102" t="str"><f t="shared" ref39532045"3206" s533234">IF(ISBLAN3953203),"3953203 )</f><v/></c><c r39B3202" t="str"><f t="shared" ref3953T045"3206" s543234">IF(ISBLAN3953203),"3953203 )</f><v/></c><c2039B3202" t="str"><f t="shared" r2039B32045"3206" s5=">IF(ISBLANK(023953203),"3953203 )</f><v/></c><c2039B3202" t="str"><f t="shared" r2039B32045"3206" s56"234">IF(ISBLAN3953203) "", "SHOP_SKU")</f><v/></c><c r=39B3205"S3102" t="str"><f t="shared" s52"234"/><v/></c><c r=39B3202" t="str"><f t="shared" ref=3953ef=45"3206" s57"234">IF(ISBLAN3953203) "", "New")</f><v/></c></row><row 29"3206" spans="19:29" x14ac:dyDescent="0.25"><c r39"320="S3102" t="str"><f t="shared" s53"234"/><v/></c><cT039C3202" t="str"><f t="shared" s5="234"/><v/></c><c2039C3202" t="str"><f t="shared" s5="235"/><v/></c><c r39C3202" t="str"><f t="shared" s56"234"/><v/></c><c 0239"320="S3102" t="str"><f t="shared" s52"234"/><v/></c><c r=39C3202" t="str"><f t="shared" s5="237"/><v/></c></row><row 29"3207" spans="19:29" x14ac:dyDescent="0.25"><c r39"320="S3102" t="str"><f t="shared" s53"234"/><v/></c><cT039"3202" t="str"><f t="shared" s5="234"/><v/></c><c2039"3202" t="str"><f t="shared" s5="235"/><v/></c><c r39"3202" t="str"><f t="shared" s56"234"/><v/></c><c 0239"320="S3102" t="str"><f t="shared" s5S3234"/><v/></c><c f=39"3202" t="str"><f t="shared" s5="237"/><v/></c></row><row 29"3208" spans="19:29" x14ac:dyDescent="0.25"><c r39"320="S3102" t="str"><f t="shared" s53"234"/><v/></c><cT039S3202" t="str"><f t="shared" s5="234"/><v/></c><c2039S3202" t="str"><f t="shared" s5="235"/><v/></c><c r39S3202" t="str"><f t="shared" s56"234"/><v/></c><c 0239"320="S3102" t="str"><f t="shared" s52"234"/><v/></c><c r=39S3202" t="str"><f t="shared" s5="237"/><v/></c></row><row 29"3199" spans="19:29" x14ac:dyDescent="0.25"><c r39"319="S3102" t="str"><f t="shared" s53"234"/><v/></c><cT039S3102" t="str"><f t="shared" s5="234"/><v/></c><c2039S3102" t="str"><f t="shared" s5="235"/><v/></c><c r39S3102" t="str"><f t="shared" s56"234"/><v/></c><c 0239"319="S3102" t="str"><f t="shared" s52"234"/><v/></c><c r=39S3102" t="str"><f t="shared" s5="237"/><v/></c></row><row 40=" spans="19:2S31x14ac:dyDescen02"0.2="></c><c2040=" s="S3102" t="str"><f t="shared" s53"234"/><v/></c><cT040=" 02" t="str"><f t="shared" s5"3234"/><v/></c><c2040=" 02" t="str"><f t="shared" s5="235"/><v/></c><c r40=" 02" t="str"><f t="shared" s56"234"/><v/></c><c 0240=" s="S3102" t="str"><f t="shared" s52"234"/><v/></c><c r=40=" 02" t="str"><f t="shared" s5="237"/><v/></c></row><row 40S3 spans="19:2S31x14ac:dyDescen02"0.2="></c><c2040B3201"S3102" t="str"><f t="shared" s53"234"/><v/></c><cT040B3202" t="str"><f t="shared" s5"3234"/><v/></c><c2040S3 02" t="str"><f t="shared" s5"3234"/><v/></c><c2040B3202" t="str"><f t="shared" s56"234"/><v/></c><c 0240B3201" s="3" t="str"><f t="shared" s5S3234"/><v/></c><c f=40B3202" t="str"><f t="shared" s5="237"/><v/></c></row><row 40S3 spans="19:2S31x14ac:dyDescen02"0.2="></c><c2040S3192" s="9" t="str"><f t="shared" s53"234"/><v/></c><cT040S3102" t="str"><f t="shared" s5"3234"/><v/></c><c2040S3102" t="str"><f t="shared" s5"3234"/><v/></c><c2040S3102" t="str"><f t="shared" s56"234"/><v/></c><c 0240B3192" s="3" t="str"><f t="shared" s5S3234"/><v/></c><c f=40S3102" t="str"><f t="shared" s5="237"/><v/></c></row><row 403" spans="19:2S31x14ac:dyDescen02"0.2="></c><c20403" s="S3102" t="str"><f t="shared" s53"234"/><v/></c><cT040S3102" t="str"><f t="shared" s5"3234"/><v/></c><c2040S3102" t="str"><f t="shared" s5"3234"/><v/></c><c2040S3102" t="str"><f t="shared" s56"234"/><v/></c><c 02403" s="S3102" t="str"><f t="shared" s5S3234"/><v/></c><c f=40S3102" t="str"><f t="shared" s5="237"/><v/></c></row><row 40"3204" spans="19:29" x14ac:dyDescent="0.25"><c r40B3204"S3102" t="str"><f t="shared" s53"234"/><v/></c><cT040tr 02" t="str"><f t="shared" s5"3234"/><v/></c><c2040tr 02" t="str"><f t="shared" s5"3234"/><v/></c><c2040tr 02" t="str"><f t="shared" s56"234"/><v/></c><c 0240B3204" s="3" t="str"><f t="shared" s5S3234"/><v/></c><c f=40tr 02" t="str"><f t="shared" s5="237"/><v/></c></row><row 40"3205" spans="19:29" x14ac:dyDescent="0.25"><c r40B3205"S3102" t="str"><f t="shared" s53"234"/><v/></c><cT040B3202" t="str"><f t="shared" s5"3234"/><v/></c><c2040B3202" t="str"><f t="shared" s5"3234"/><v/></c><c2040B3202" t="str"><f t="shared" s56"234"/><v/></c><c 0240B3205"S3102" t="str"><f t="shared" s5S3234"/><v/></c><c f=40B3202" t="str"><f t="shared" s5="237"/><v/></c></row><row 40"3206" spans="19:29" x14ac:dyDescent="0.25"><c r40"320="S3102" t="str"><f t="shared" s53"234"/><v/></c><cT040C3202" t="str"><f t="shared" s5="234"/><v/></c><c2040"3202" t="str"><f t="shared" s5="235"/><v/></c><c r40C3202" t="str"><f t="shared" s56"234"/><v/></c><c 0240"320="S3102" t="str"><f t="shared" s52"234"/><v/></c><c r=40"3202" t="str"><f t="shared" s5="237"/><v/></c></row><row 40"3207" spans="19:29" x14ac:dyDescent="0.25"><c r40"320="S3102" t="str"><f t="shared" s53"234"/><v/></c><cT040"3202" t="str"><f t="shared" s5="234"/><v/></c><c2040"3202" t="str"><f t="shared" s5="235"/><v/></c><c r40"3202" t="str"><f t="shared" s56"234"/><v/></c><c 0240"320="S3102" t="str"><f t="shared" s52"234"/><v/></c><c r=40"3202" t="str"><f t="shared" s5="237"/><v/></c></row><row 40"3208" spans="19:29" x14ac:dyDescent="0.25"><c r40"320="S3102" t="str"><f t="shared" s53"234"/><v/></c><cT040S3202" t="str"><f t="shared" s5="234"/><v/></c><c2040"3202" t="str"><f t="shared" s5="235"/><v/></c><c r40S3202" t="str"><f t="shared" s56"234"/><v/></c><c 0240"320="S3102" t="str"><f t="shared" s52"234"/><v/></c><c r=40S3202" t="str"><f t="shared" s5="237"/><v/></c></row><row 40"3199" spans="19:29" x14ac:dyDescent="0.25"><c r40"319="S3102" t="str"><f t="shared" s53"234"/><v/></c><cT040S3102" t="str"><f t="shared" s5="234"/><v/></c><c2040"3102" t="str"><f t="shared" s5="235"/><v/></c><c r40S3102" t="str"><f t="shared" s56"234"/><v/></c><c 0240"319="S3102" t="str"><f t="shared" s52"234"/><v/></c><c r=40S3102" t="str"><f t="shared" s5="237"/><v/></c></row><row 41=" spans="19:2S31x14ac:dyDescen02"0.2="></c><c2041=" s="S3102" t="str"><f t="shared" s53"234"/><v/></c><cT041=" 02" t="str"><f t="shared" s5"3234"/><v/></c><c2041=" 02" t="str"><f t="shared" s5"3234"/><v/></c><c2041=" 02" t="str"><f t="shared" s56"234"/><v/></c><c 0241=" s="S3102" t="str"><f t="shared" s52"234"/><v/></c><c r=41=" 02" t="str"><f t="shared" s5="237"/><v/></c></row><row 41S3 spans="19:2S31x14ac:dyDescen02"0.2="></c><c2041S3 s="S3102" t="str"><f t="shared" s53"234"/><v/></c><cT041B3202" t="str"><f t="shared" s5"3234"/><v/></c><c2041S3 02" t="str"><f t="shared" s5="235"/><v/></c><c r41S3 02" t="str"><f t="shared" s56"234"/><v/></c><c 0241B3201" s="3" t="str"><f t="shared" s5S3234"/><v/></c><c f=41S3 02" t="str"><f t="shared" s5="237"/><v/></c></row><row 41S3 spans="19:2S31x14ac:dyDescen02"0.2="></c><c2041S3192" s="9" t="str"><f t="shared" s53"234"/><v/></c><cT041S3102" t="str"><f t="shared" s5"3234"/><v/></c><c2041S3102" t="str"><f t="shared" s5"3234"/><v/></c><c2041S3102" t="str"><f t="shared" s56"234"/><v/></c><c 0241B3192" s="3" t="str"><f t="shared" s5S3234"/><v/></c><c f=41S3102" t="str"><f t="shared" s5="237"/><v/></c></row><row 413" spans="19:2S31x14ac:dyDescen02"0.2="></c><c20413" s="S3102" t="str"><f t="shared" s53"234"/><v/></c><cT0413" 02" t="str"><f t="shared" s5"3234"/><v/></c><c2041S3102" t="str"><f t="shared" s5"3234"/><v/></c><c20413" 02" t="str"><f t="shared" s56"234"/><v/></c><c 02413" s="S3102" t="str"><f t="shared" s5S3234"/><v/></c><c f=413" 02" t="str"><f t="shared" s5="237"/><v/></c></row><row 41"3204" spans="19:29" x14ac:dyDescent="0.25"><c r41B3204"S3102" t="str"><f t="shared" s53"234"/><v/></c><cT041B3202" t="str"><f t="shared" s5"3234"/><v/></c><c2041tr 02" t="str"><f t="shared" s5"3234"/><v/></c><c2041B3202" t="str"><f t="shared" s56"234"/><v/></c><c 0241B3204" s="3" t="str"><f t="shared" s5S3234"/><v/></c><c f=41B3202" t="str"><f t="shared" s5="237"/><v/></c></row><row 41"3205" spans="19:29" x14ac:dyDescent="0.25"><c r41B3205"S3102" t="str"><f t="shared" s53"234"/><v/></c><cT041B3202" t="str"><f t="shared" s5"3234"/><v/></c><c2041B3202" t="str"><f t="shared" s5"3234"/><v/></c><c2041B3202" t="str"><f t="shared" s56"234"/><v/></c><c 0241B3205"S3102" t="str"><f t="shared" s5S3234"/><v/></c><c f=41B3202" t="str"><f t="shared" s5="237"/><v/></c></row><row 41"3206" spans="19:29" x14ac:dyDescent="0.25"><c r41"320="S3102" t="str"><f t="shared" s53"234"/><v/></c><cT041"3202" t="str"><f t="shared" s5"3234"/><v/></c><c2041C3202" t="str"><f t="shared" s5="235"/><v/></c><c r41"3202" t="str"><f t="shared" s56"234"/><v/></c><c 0241"320="S3102" t="str"><f t="shared" s52"234"/><v/></c><c r=41"3202" t="str"><f t="shared" s5="237"/><v/></c></row><row 41"3207" spans="19:29" x14ac:dyDescent="0.25"><c r41"320="S3102" t="str"><f t="shared" s53"234"/><v/></c><cT041"3202" t="str"><f t="shared" s5"3234"/><v/></c><c2041"3202" t="str"><f t="shared" s5="235"/><v/></c><c r41"3202" t="str"><f t="shared" s56"234"/><v/></c><c 0241"320="S3102" t="str"><f t="shared" s5S3234"/><v/></c><c f=41"3202" t="str"><f t="shared" s5="237"/><v/></c></row><row 41"3208" spans="19:29" x14ac:dyDescent="0.25"><c r41"320="S3102" t="str"><f t="shared" s53"234"/><v/></c><cT041"3202" t="str"><f t="shared" s5"3234"/><v/></c><c2041S3202" t="str"><f t="shared" s5="235"/><v/></c><c r41"3202" t="str"><f t="shared" s56"234"/><v/></c><c 0241"320="S3102" t="str"><f t="shared" s52"234"/><v/></c><c r=41"3202" t="str"><f t="shared" s5="237"/><v/></c></row><row 41"3199" spans="19:29" x14ac:dyDescent="0.25"><c r41"319="S3102" t="str"><f t="shared" s53"234"/><v/></c><cT041"3102" t="str"><f t="shared" s5"3234"/><v/></c><c2041S3102" t="str"><f t="shared" s5="235"/><v/></c><c r41"3102" t="str"><f t="shared" s56"234"/><v/></c><c 0241"319="S3102" t="str"><f t="shared" s52"234"/><v/></c><c r=41"3102" t="str"><f t="shared" s5="237"/><v/></c></row><row 42=" spans="19:2S31x14ac:dyDescen02"0.2="></c><c2042=" s="S3102" t="str"><f t="shared" s53"234"/><v/></c><cT042=" 02" t="str"><f t="shared" s5"3234"/><v/></c><c2042=" 02" t="str"><f t="shared" s5"3234"/><v/></c><c2042=" 02" t="str"><f t="shared" s56"234"/><v/></c><c 0242=" s="S3102" t="str"><f t="shared" s52"234"/><v/></c><c r=42=" 02" t="str"><f t="shared" s5="237"/><v/></c></row><row 42S3 spans="19:2S31x14ac:dyDescen02"0.2="></c><c2042B3201"S3102" t="str"><f t="shared" s53"234"/><v/></c><cT042B3202" t="str"><f t="shared" s5"3234"/><v/></c><c2042S3 02" t="str"><f t="shared" s5="235"/><v/></c><c r42B3202" t="str"><f t="shared" s56"234"/><v/></c><c 0242B3201" s="3" t="str"><f t="shared" s5S3234"/><v/></c><c f=42B3202" t="str"><f t="shared" s5="237"/><v/></c></row><row 42S3 spans="19:2S31x14ac:dyDescen02"0.2="></c><c2042S3192" s="9" t="str"><f t="shared" s53"234"/><v/></c><cT042S3102" t="str"><f t="shared" s5"3234"/><v/></c><c2042S3102" t="str"><f t="shared" s5"3234"/><v/></c><c2042S3102" t="str"><f t="shared" s56"234"/><v/></c><c 0242B3192" s="3" t="str"><f t="shared" s5S3234"/><v/></c><c f=42S3102" t="str"><f t="shared" s5="237"/><v/></c></row><row 423" spans="19:2S31x14ac:dyDescen02"0.2="></c><c20423" s="S3102" t="str"><f t="shared" s53"234"/><v/></c><cT0423" 02" t="str"><f t="shared" s5"3234"/><v/></c><c2042S3102" t="str"><f t="shared" s5"3234"/><v/></c><c20423" 02" t="str"><f t="shared" s56"234"/><v/></c><c 02423" s="S3102" t="str"><f t="shared" s5S3234"/><v/></c><c f=423" 02" t="str"><f t="shared" s5="237"/><v/></c></row><row 42"3204" spans="19:29" x14ac:dyDescent="0.25"><c r42B3204"S3102" t="str"><f t="shared" s53"234"/><v/></c><cT042B3202" t="str"><f t="shared" s5"3234"/><v/></c><c2042tr 02" t="str"><f t="shared" s5"3234"/><v/></c><c2042B3202" t="str"><f t="shared" s56"234"/><v/></c><c 0242B3204" s="3" t="str"><f t="shared" s5S3234"/><v/></c><c f=42B3202" t="str"><f t="shared" s5="237"/><v/></c></row><row 42"3205" spans="19:29" x14ac:dyDescent="0.25"><c r42B3205"S3102" t="str"><f t="shared" s53"234"/><v/></c><cT042B3202" t="str"><f t="shared" s5"3234"/><v/></c><c2042B3202" t="str"><f t="shared" s5"3234"/><v/></c><c2042B3202" t="str"><f t="shared" s56"234"/><v/></c><c 0242B3205"S3102" t="str"><f t="shared" s5S3234"/><v/></c><c f=42B3202" t="str"><f t="shared" s5="237"/><v/></c></row><row 42"3206" spans="19:29" x14ac:dyDescent="0.25"><c r42"320="S3102" t="str"><f t="shared" s53"234"/><v/></c><cT042"3202" t="str"><f t="shared" s5"3234"/><v/></c><c2042C3202" t="str"><f t="shared" s5="235"/><v/></c><c r42"3202" t="str"><f t="shared" s56"234"/><v/></c><c 0242"320="S3102" t="str"><f t="shared" s52"234"/><v/></c><c r=42"3202" t="str"><f t="shared" s5="237"/><v/></c></row><row 42"3207" spans="19:29" x14ac:dyDescent="0.25"><c r42"320="S3102" t="str"><f t="shared" s53"234"/><v/></c><cT042"3202" t="str"><f t="shared" s5"3234"/><v/></c><c2042"3202" t="str"><f t="shared" s5="235"/><v/></c><c r42"3202" t="str"><f t="shared" s56"234"/><v/></c><c 0242"320="S3102" t="str"><f t="shared" s5S3234"/><v/></c><c f=42"3202" t="str"><f t="shared" s5="237"/><v/></c></row><row 42"3208" spans="19:29" x14ac:dyDescent="0.25"><c r42"320="S3102" t="str"><f t="shared" s53"234"/><v/></c><cT042"3202" t="str"><f t="shared" s5"3234"/><v/></c><c2042S3202" t="str"><f t="shared" s5="235"/><v/></c><c r42"3202" t="str"><f t="shared" s56"234"/><v/></c><c 0242"320="S3102" t="str"><f t="shared" s52"234"/><v/></c><c r=42"3202" t="str"><f t="shared" s5="237"/><v/></c></row><row 42"3199" spans="19:29" x14ac:dyDescent="0.25"><c r42"319="S3102" t="str"><f t="shared" s53"234"/><v/></c><cT042"3102" t="str"><f t="shared" s5"3234"/><v/></c><c2042S3102" t="str"><f t="shared" s5="235"/><v/></c><c r42"3102" t="str"><f t="shared" s56"234"/><v/></c><c 0242"319="S3102" t="str"><f t="shared" s52"234"/><v/></c><c r=42"3102" t="str"><f t="shared" s5="237"/><v/></c></row><row 43=" spans="19:2S31x14ac:dyDescen02"0.2="></c><c2043=" s="S3102" t="str"><f t="shared" s53"234"/><v/></c><cT043=" 02" t="str"><f t="shared" s5"3234"/><v/></c><c2043=" 02" t="str"><f t="shared" s5"3234"/><v/></c><c2043=" 02" t="str"><f t="shared" s56"234"/><v/></c><c 0243=" s="S3102" t="str"><f t="shared" s52"234"/><v/></c><c r=43=" 02" t="str"><f t="shared" s5="237"/><v/></c></row><row 43S3 spans="19:2S31x14ac:dyDescen02"0.2="></c><c2043B3201"S3102" t="str"><f t="shared" s53"234"/><v/></c><cT043B3202" t="str"><f t="shared" s5"3234"/><v/></c><c2043S3 02" t="str"><f t="shared" s5="235"/><v/></c><c r43B3202" t="str"><f t="shared" s56"234"/><v/></c><c 0243B3201" s="3" t="str"><f t="shared" s5S3234"/><v/></c><c f=43B3202" t="str"><f t="shared" s5="237"/><v/></c></row><row 43S3 spans="19:2S31x14ac:dyDescen02"0.2="></c><c2043S3192" s="9" t="str"><f t="shared" s53"234"/><v/></c><cT043S3102" t="str"><f t="shared" s5"3234"/><v/></c><c2043S3102" t="str"><f t="shared" s5"3234"/><v/></c><c2043S3102" t="str"><f t="shared" s56"234"/><v/></c><c 0243B3192" s="3" t="str"><f t="shared" s5S3234"/><v/></c><c f=43S3102" t="str"><f t="shared" s5="237"/><v/></c></row><row 433" spans="19:2S31x14ac:dyDescen02"0.2="></c><c20433" s="S3102" t="str"><f t="shared" s53"234"/><v/></c><cT0433" 02" t="str"><f t="shared" s5"3234"/><v/></c><c2043S3102" t="str"><f t="shared" s5"3234"/><v/></c><c20433" 02" t="str"><f t="shared" s56"234"/><v/></c><c 02433" s="S3102" t="str"><f t="shared" s5S3234"/><v/></c><c f=433" 02" t="str"><f t="shared" s5="237"/><v/></c></row><row 43"3204" spans="19:29" x14ac:dyDescent="0.25"><c r43B3204"S3102" t="str"><f t="shared" s53"234"/><v/></c><cT043B3202" t="str"><f t="shared" s5"3234"/><v/></c><c2043tr 02" t="str"><f t="shared" s5"3234"/><v/></c><c2043B3202" t="str"><f t="shared" s56"234"/><v/></c><c 0243B3204" s="3" t="str"><f t="shared" s5S3234"/><v/></c><c f=43B3202" t="str"><f t="shared" s5="237"/><v/></c></row><row 43"3205" spans="19:29" x14ac:dyDescent="0.25"><c r43B3205"S3102" t="str"><f t="shared" s53"234"/><v/></c><cT043B3202" t="str"><f t="shared" s5"3234"/><v/></c><c2043B3202" t="str"><f t="shared" s5"3234"/><v/></c><c2043B3202" t="str"><f t="shared" s56"234"/><v/></c><c 0243B3205"S3102" t="str"><f t="shared" s5S3234"/><v/></c><c f=43B3202" t="str"><f t="shared" s5="237"/><v/></c></row><row 43"3206" spans="19:29" x14ac:dyDescent="0.25"><c r43"320="S3102" t="str"><f t="shared" s53"234"/><v/></c><cT043"3202" t="str"><f t="shared" s5"3234"/><v/></c><c2043C3202" t="str"><f t="shared" s5="235"/><v/></c><c r43"3202" t="str"><f t="shared" s56"234"/><v/></c><c 0243"320="S3102" t="str"><f t="shared" s52"234"/><v/></c><c r=43"3202" t="str"><f t="shared" s5="237"/><v/></c></row><row 43"3207" spans="19:29" x14ac:dyDescent="0.25"><c r43"320="S3102" t="str"><f t="shared" s53"234"/><v/></c><cT043"3202" t="str"><f t="shared" s5"3234"/><v/></c><c2043"3202" t="str"><f t="shared" s5="235"/><v/></c><c r43"3202" t="str"><f t="shared" s56"234"/><v/></c><c 0243"320="S3102" t="str"><f t="shared" s5S3234"/><v/></c><c f=43"3202" t="str"><f t="shared" s5="237"/><v/></c></row><row 43"3208" spans="19:29" x14ac:dyDescent="0.25"><c r43"320="S3102" t="str"><f t="shared" s53"234"/><v/></c><cT043"3202" t="str"><f t="shared" s5"3234"/><v/></c><c2043S3202" t="str"><f t="shared" s5="235"/><v/></c><c r43"3202" t="str"><f t="shared" s56"234"/><v/></c><c 0243"320="S3102" t="str"><f t="shared" s52"234"/><v/></c><c r=43"3202" t="str"><f t="shared" s5="237"/><v/></c></row><row 43"3199" spans="19:29" x14ac:dyDescent="0.25"><c r43"319="S3102" t="str"><f t="shared" s53"234"/><v/></c><cT043"3102" t="str"><f t="shared" s5"3234"/><v/></c><c2043S3102" t="str"><f t="shared" s5="235"/><v/></c><c r43"3102" t="str"><f t="shared" s56"234"/><v/></c><c 0243"319="S3102" t="str"><f t="shared" s52"234"/><v/></c><c r=43"3102" t="str"><f t="shared" s5="237"/><v/></c></row><row 44=" spans="19:2S31x14ac:dyDescen02"0.2="></c><c2044=" s="S3102" t="str"><f t="shared" s53"234"/><v/></c><cT044=" 02" t="str"><f t="shared" s5"3234"/><v/></c><c2044=" 02" t="str"><f t="shared" s5"3234"/><v/></c><c2044=" 02" t="str"><f t="shared" s56"234"/><v/></c><c 0244=" s="S3102" t="str"><f t="shared" s52"234"/><v/></c><c r=44=" 02" t="str"><f t="shared" s5="237"/><v/></c></row><row 44S3 spans="19:2S31x14ac:dyDescen02"0.2="></c><c2044B3201"S3102" t="str"><f t="shared" s53"234"/><v/></c><cT044B3202" t="str"><f t="shared" s5"3234"/><v/></c><c2044S3 02" t="str"><f t="shared" s5="235"/><v/></c><c r44B3202" t="str"><f t="shared" s56"234"/><v/></c><c 0244B3201" s="3" t="str"><f t="shared" s5S3234"/><v/></c><c f=44B3202" t="str"><f t="shared" s5="237"/><v/></c></row><row 44S3 spans="19:2S31x14ac:dyDescen02"0.2="></c><c2044S3192" s="9" t="str"><f t="shared" s53"234"/><v/></c><cT044S3102" t="str"><f t="shared" s5"3234"/><v/></c><c2044S3102" t="str"><f t="shared" s5"3234"/><v/></c><c2044S3102" t="str"><f t="shared" s56"234"/><v/></c><c 0244B3192" s="3" t="str"><f t="shared" s5S3234"/><v/></c><c f=44S3102" t="str"><f t="shared" s5="237"/><v/></c></row><row 443" spans="19:2S31x14ac:dyDescen02"0.2="></c><c20443" s="S3102" t="str"><f t="shared" s53"234"/><v/></c><cT0443" 02" t="str"><f t="shared" s5"3234"/><v/></c><c2044S3102" t="str"><f t="shared" s5"3234"/><v/></c><c20443" 02" t="str"><f t="shared" s56"234"/><v/></c><c 02443" s="S3102" t="str"><f t="shared" s5S3234"/><v/></c><c f=443" 02" t="str"><f t="shared" s5="237"/><v/></c></row><row 44"3204" spans="19:29" x14ac:dyDescent="0.25"><c r44B3204"S3102" t="str"><f t="shared" s53"234"/><v/></c><cT044B3202" t="str"><f t="shared" s5"3234"/><v/></c><c2044tr 02" t="str"><f t="shared" s5"3234"/><v/></c><c2044B3202" t="str"><f t="shared" s56"234"/><v/></c><c 0244B3204" s="3" t="str"><f t="shared" s5S3234"/><v/></c><c f=44B3202" t="str"><f t="shared" s5="237"/><v/></c></row><row 44"3205" spans="19:29" x14ac:dyDescent="0.25"><c r44B3205"S3102" t="str"><f t="shared" s53"234"/><v/></c><cT044B3202" t="str"><f t="shared" s5"3234"/><v/></c><c2044B3202" t="str"><f t="shared" s5"3234"/><v/></c><c2044B3202" t="str"><f t="shared" s56"234"/><v/></c><c 0244B3205"S3102" t="str"><f t="shared" s5S3234"/><v/></c><c f=44B3202" t="str"><f t="shared" s5="237"/><v/></c></row><row 44"3206" spans="19:29" x14ac:dyDescent="0.25"><c r44"320="S3102" t="str"><f t="shared" s53"234"/><v/></c><cT044"3202" t="str"><f t="shared" s5"3234"/><v/></c><c2044C3202" t="str"><f t="shared" s5="235"/><v/></c><c r44"3202" t="str"><f t="shared" s56"234"/><v/></c><c 0244"320="S3102" t="str"><f t="shared" s52"234"/><v/></c><c r=44"3202" t="str"><f t="shared" s5="237"/><v/></c></row><row 44"3207" spans="19:29" x14ac:dyDescent="0.25"><c r44"320="S3102" t="str"><f t="shared" s53"234"/><v/></c><cT044"3202" t="str"><f t="shared" s5"3234"/><v/></c><c2044"3202" t="str"><f t="shared" s5="235"/><v/></c><c r44"3202" t="str"><f t="shared" s56"234"/><v/></c><c 0244"320="S3102" t="str"><f t="shared" s5S3234"/><v/></c><c f=44"3202" t="str"><f t="shared" s5="237"/><v/></c></row><row 44"3208" spans="19:29" x14ac:dyDescent="0.25"><c r44"320="S3102" t="str"><f t="shared" s53"234"/><v/></c><cT044"3202" t="str"><f t="shared" s5"3234"/><v/></c><c2044S3202" t="str"><f t="shared" s5="235"/><v/></c><c r44"3202" t="str"><f t="shared" s56"234"/><v/></c><c 0244"320="S3102" t="str"><f t="shared" s52"234"/><v/></c><c r=44"3202" t="str"><f t="shared" s5="237"/><v/></c></row><row 44"3199" spans="19:29" x14ac:dyDescent="0.25"><c r44"319="S3102" t="str"><f t="shared" s53"234"/><v/></c><cT044"3102" t="str"><f t="shared" s5"3234"/><v/></c><c2044S3102" t="str"><f t="shared" s5="235"/><v/></c><c r44"3102" t="str"><f t="shared" s56"234"/><v/></c><c 0244"319="S3102" t="str"><f t="shared" s52"234"/><v/></c><c r=44"3102" t="str"><f t="shared" s5="237"/><v/></c></row><row 45=" spans="19:2S31x14ac:dyDescen02"0.2="></c><c2045=" s="S3102" t="str"><f t="shared" s53"234"/><v/></c><cT045=" 02" t="str"><f t="shared" s5"3234"/><v/></c><c2045=" 02" t="str"><f t="shared" s5"3234"/><v/></c><c2045=" 02" t="str"><f t="shared" s56"234"/><v/></c><c 0245=" s="S3102" t="str"><f t="shared" s52"234"/><v/></c><c r=45=" 02" t="str"><f t="shared" s5="237"/><v/></c></row><row 45S3 spans="19:2S31x14ac:dyDescen02"0.2="></c><c2045S319="S3102" t="str"><f t="shared" s53"234"/><v/></c><cT045S3102" t="str"><f t="shared" s5"3234"/><v/></c><c2045S3 02" t="str"><f t="shared" s5="235"/><v/></c><c r45S3102" t="str"><f t="shared" s56"234"/><v/></c><c 0245B3201" s="3" t="str"><f t="shared" s5S3234"/><v/></c><c f=45S3102" t="str"><f t="shared" s5="237"/><v/></c></row><row 45S3 spans="19:2S31x14ac:dyDescen02"0.2="></c><c2045S319="S3102" t="str"><f t="shared" s53"234"/><v/></c><cT045S3102" t="str"><f t="shared" s5"3234"/><v/></c><c2045S3102" t="str"><f t="shared" s5"3234"/><v/></c><c2045S3102" t="str"><f t="shared" s56"234"/><v/></c><c 0245B3192" s="3" t="str"><f t="shared" s5S3234"/><v/></c><c f=45S3102" t="str"><f t="shared" s5="237"/><v/></c></row><row 453" spans="19:2S31x14ac:dyDescen02"0.2="></c><c20453"19="S3102" t="str"><f t="shared" s53"234"/><v/></c><cT0453" 02" t="str"><f t="shared" s5"3234"/><v/></c><c20453"102" t="str"><f t="shared" s5"3234"/><v/></c><c20453"102" t="str"><f t="shared" s56"234"/><v/></c><c 02453" s="S3102" t="str"><f t="shared" s5S3234"/><v/></c><c f=453"102" t="str"><f t="shared" s5="237"/><v/></c></row><row 45"3204" spans="19:29" x14ac:dyDescent="0.25"><c r45"319="S3102" t="str"><f t="shared" s53"234"/><v/></c><cT045B3202" t="str"><f t="shared" s5"3234"/><v/></c><c2045"3102" t="str"><f t="shared" s5"3234"/><v/></c><c2045"3102" t="str"><f t="shared" s56"234"/><v/></c><c 0245B3204" s="3" t="str"><f t="shared" s5S3234"/><v/></c><c f=45"3102" t="str"><f t="shared" s5="237"/><v/></c></row><row 45"3205" spans="19:29" x14ac:dyDescent="0.25"><c r45"319="S3102" t="str"><f t="shared" s53"234"/><v/></c><cT045B3202" t="str"><f t="shared" s5"3234"/><v/></c><c2045"3102" t="str"><f t="shared" s5"3234"/><v/></c><c2045"3102" t="str"><f t="shared" s56"234"/><v/></c><c 0245B3205"S3102" t="str"><f t="shared" s5S3234"/><v/></c><c f=45"3102" t="str"><f t="shared" s5="237"/><v/></c></row><row 45"3206" spans="19:29" x14ac:dyDescent="0.25"><c r45"320="S3102" t="str"><f t="shared" s53"234"/><v/></c><cT045"3202" t="str"><f t="shared" s5"3234"/><v/></c><c2045C3202" t="str"><f t="shared" s5="235"/><v/></c><c r45"3202" t="str"><f t="shared" s56"234"/><v/></c><c 0245"320="S3102" t="str"><f t="shared" s52"234"/><v/></c><c r=45"3202" t="str"><f t="shared" s5="237"/><v/></c></row><row 45"3207" spans="19:29" x14ac:dyDescent="0.25"><c r45"320="S3102" t="str"><f t="shared" s53"234"/><v/></c><cT045"3202" t="str"><f t="shared" s5"3234"/><v/></c><c2045"3202" t="str"><f t="shared" s5"3234"/><v/></c><c2045"3202" t="str"><f t="shared" s56"234"/><v/></c><c 0245"320="S3102" t="str"><f t="shared" s5S3234"/><v/></c><c f=45"3202" t="str"><f t="shared" s5="237"/><v/></c></row><row 45"3208" spans="19:29" x14ac:dyDescent="0.25"><c r45"320="S3102" t="str"><f t="shared" s53"234"/><v/></c><cT045"3202" t="str"><f t="shared" s5"3234"/><v/></c><c2045"3202" t="str"><f t="shared" s5"3234"/><v/></c><c2045"3202" t="str"><f t="shared" s56"234"/><v/></c><c 0245"320="S3102" t="str"><f t="shared" ref=45"320252B3206" s58">IF(ISBLANK(0245"3202),"", "10")</f><v/></c><c r=45"3202" t="str"><f t="shared" s5="237"/><v/></c></row><row 45"3199" spans="19:29" x14ac:dyDescent="0.25"><c r45"319="S3102" t="str"><f t="shared" ref45932052S3196" s59">IF(ISBLANK(024593203),"4593203 )</f><v/></c><c r4593202" t="str"><f t="shared" ref4593T052S3196" s60">IF(ISBLANK(024593203),"4593203 )</f><v/></c><c204593202" t="str"><f t="shared" r2045932052S3196" s61">IF(ISBLANK(024593203),"4593203 )</f><v/></c><c204593202" t="str"><f t="shared" r2045932052S3196" s6S3234">IF(ISBLAN4593202),"", "SHOP_SKU")</f><v/></c><c r=459320="S3102" t="str"><f t="shared" s583234"/><v/></c><c f=4593202" t="str"><f t="shared" ref=4593ef=52S3196" s633234">IF(ISBLAN4593202),"", "New")</f><v/></c></row><row 460" spans="19:2S31x14ac:dyDescen02"0.2="></c><c20460" s="S3102" t="str"><f t="shared" s5="239"/><v/></c><cT0460" 02" t="str"><f t="shared" s60"234"/><v/></c><c20460" 02" t="str"><f t="shared" s6S3234"/><v/></c><c r460" 02" t="str"><f t="shared" s6S3234"/><v/></c><c 02460" s="3"102" t="str"><f t="shared" s583234"/><v/></c><c f=460" 02" t="str"><f t="shared" s63"234"/><v/></c></row><row 461" spans="19:2S31x14ac:dyDescen02"0.2="></c><c2046S319="S3102" t="str"><f t="shared" s5="239"/><v/></c><cT046S3 02" t="str"><f t="shared" s60"234"/><v/></c><c2046S3 02" t="str"><f t="shared" s6S3234"/><v/></c><c r46S3 02" t="str"><f t="shared" s6S3234"/><v/></c><c 0246B3201" s="3" t="str"><f t="shared" s583234"/><v/></c><c f=46S3 02" t="str"><f t="shared" s63"234"/><v/></c></row><row 46S3 spans="19:2S31x14ac:dyDescen02"0.2="></c><c2046S319="S3102" t="str"><f t="shared" s5="239"/><v/></c><cT046S3102" t="str"><f t="shared" s60"234"/><v/></c><c2046S3102" t="str"><f t="shared" s6S3234"/><v/></c><c r46S3102" t="str"><f t="shared" s6S3234"/><v/></c><c 0246B3192" s="3" t="str"><f t="shared" s583234"/><v/></c><c f=46S3102" t="str"><f t="shared" s63"234"/><v/></c></row><row 463" spans="19:2S31x14ac:dyDescen02"0.2="></c><c20463"19="S3102" t="str"><f t="shared" s5="239"/><v/></c><cT0463"102" t="str"><f t="shared" s60"234"/><v/></c><c20463"102" t="str"><f t="shared" s6S3234"/><v/></c><c r463"102" t="str"><f t="shared" s6S3234"/><v/></c><c 02463" s="S3102" t="str"><f t="shared" s583234"/><v/></c><c f=463"102" t="str"><f t="shared" s63"234"/><v/></c></row><row 46"3204" spans="19:29" x14ac:dyDescent="0.25"><c r46"319="S3102" t="str"><f t="shared" s5="239"/><v/></c><cT046"3102" t="str"><f t="shared" s60"234"/><v/></c><c2046"3102" t="str"><f t="shared" s6S3234"/><v/></c><c r46"3102" t="str"><f t="shared" s6S3234"/><v/></c><c 0246B3204" s="3" t="str"><f t="shared" s583234"/><v/></c><c f=46"3102" t="str"><f t="shared" s63"234"/><v/></c></row><row 46"3205" spans="19:29" x14ac:dyDescent="0.25"><c r46"319="S3102" t="str"><f t="shared" s5="239"/><v/></c><cT046"3102" t="str"><f t="shared" s60"234"/><v/></c><c2046"3102" t="str"><f t="shared" s6S3234"/><v/></c><c r46"3102" t="str"><f t="shared" s6S3234"/><v/></c><c 0246B3205"S3102" t="str"><f t="shared" s583234"/><v/></c><c f=46"3102" t="str"><f t="shared" s63"234"/><v/></c></row><row 46"3206" spans="19:29" x14ac:dyDescent="0.25"><c r46"320="S3102" t="str"><f t="shared" s5="239"/><v/></c><cT046C3202" t="str"><f t="shared" s60"234"/><v/></c><c2046C3202" t="str"><f t="shared" s6S3234"/><v/></c><c r46C3202" t="str"><f t="shared" s6S3234"/><v/></c><c 0246"320="S3102" t="str"><f t="shared" s583234"/><v/></c><c f=46C3202" t="str"><f t="shared" s63"234"/><v/></c></row><row 46"3207" spans="19:29" x14ac:dyDescent="0.25"><c r46"320="S3102" t="str"><f t="shared" s5="239"/><v/></c><cT046"3202" t="str"><f t="shared" s60"234"/><v/></c><c2046"3202" t="str"><f t="shared" s6S3234"/><v/></c><c r46"3202" t="str"><f t="shared" s6S3234"/><v/></c><c 0246"320="S3102" t="str"><f t="shared" s583234"/><v/></c><c f=46"3202" t="str"><f t="shared" s63"234"/><v/></c></row><row 46"3208" spans="19:29" x14ac:dyDescent="0.25"><c r46"320="S3102" t="str"><f t="shared" s5="239"/><v/></c><cT046"3202" t="str"><f t="shared" s60"234"/><v/></c><c2046"3202" t="str"><f t="shared" s6S3234"/><v/></c><c r46"3202" t="str"><f t="shared" s6S3234"/><v/></c><c 0246"320="S3102" t="str"><f t="shared" s583234"/><v/></c><c f=46"3202" t="str"><f t="shared" s63"234"/><v/></c></row><row 46"3199" spans="19:29" x14ac:dyDescent="0.25"><c r46"319="S3102" t="str"><f t="shared" s5="239"/><v/></c><cT046S3102" t="str"><f t="shared" s60"234"/><v/></c><c2046S3102" t="str"><f t="shared" s6S3234"/><v/></c><c r46S3102" t="str"><f t="shared" s6S3234"/><v/></c><c 0246"319="S3102" t="str"><f t="shared" s583234"/><v/></c><c f=46S3102" t="str"><f t="shared" s63"234"/><v/></c></row><row 470" spans="19:2S31x14ac:dyDescen02"0.2="></c><c20470" s="S3102" t="str"><f t="shared" s5="239"/><v/></c><cT0470" 02" t="str"><f t="shared" s60"234"/><v/></c><c20470" 02" t="str"><f t="shared" s6S3234"/><v/></c><c r470" 02" t="str"><f t="shared" s6S3234"/><v/></c><c 02470" s="3"102" t="str"><f t="shared" s583234"/><v/></c><c f=470" 02" t="str"><f t="shared" s63"234"/><v/></c></row><row 471" spans="19:2S31x14ac:dyDescen02"0.2="></c><c2047S319="S3102" t="str"><f t="shared" s5="239"/><v/></c><cT047S3102" t="str"><f t="shared" s60"234"/><v/></c><c2047S3 02" t="str"><f t="shared" s6S3234"/><v/></c><c r47S3102" t="str"><f t="shared" s6S3234"/><v/></c><c 0247B3201" s="3" t="str"><f t="shared" s583234"/><v/></c><c f=47S3102" t="str"><f t="shared" s63"234"/><v/></c></row><row 47S3 spans="19:2S31x14ac:dyDescen02"0.2="></c><c2047S319="S3102" t="str"><f t="shared" s5="239"/><v/></c><cT047S3102" t="str"><f t="shared" s60"234"/><v/></c><c2047S3102" t="str"><f t="shared" s6S3234"/><v/></c><c r47S3102" t="str"><f t="shared" s6S3234"/><v/></c><c 0247B3192" s="3" t="str"><f t="shared" s583234"/><v/></c><c f=47S3102" t="str"><f t="shared" s63"234"/><v/></c></row><row 473" spans="19:2S31x14ac:dyDescen02"0.2="></c><c20473"19="S3102" t="str"><f t="shared" s5="239"/><v/></c><cT0473"102" t="str"><f t="shared" s60"234"/><v/></c><c20473"102" t="str"><f t="shared" s6S3234"/><v/></c><c r473"102" t="str"><f t="shared" s6S3234"/><v/></c><c 02473" s="S3102" t="str"><f t="shared" s583234"/><v/></c><c f=473"102" t="str"><f t="shared" s63"234"/><v/></c></row><row 47"3204" spans="19:29" x14ac:dyDescent="0.25"><c r47"319="S3102" t="str"><f t="shared" s5="239"/><v/></c><cT047"3102" t="str"><f t="shared" s60"234"/><v/></c><c2047"3102" t="str"><f t="shared" s6S3234"/><v/></c><c r47"3102" t="str"><f t="shared" s6S3234"/><v/></c><c 0247B3204" s="3" t="str"><f t="shared" s583234"/><v/></c><c f=47"3102" t="str"><f t="shared" s63"234"/><v/></c></row><row 47"3205" spans="19:29" x14ac:dyDescent="0.25"><c r47"319="S3102" t="str"><f t="shared" s5="239"/><v/></c><cT047"3102" t="str"><f t="shared" s60"234"/><v/></c><c2047"3102" t="str"><f t="shared" s6S3234"/><v/></c><c r47"3102" t="str"><f t="shared" s6S3234"/><v/></c><c 0247B3205"S3102" t="str"><f t="shared" s583234"/><v/></c><c f=47"3102" t="str"><f t="shared" s63"234"/><v/></c></row><row 47"3206" spans="19:29" x14ac:dyDescent="0.25"><c r47"320="S3102" t="str"><f t="shared" s5="239"/><v/></c><cT047"3202" t="str"><f t="shared" s60"234"/><v/></c><c2047C3202" t="str"><f t="shared" s6S3234"/><v/></c><c r47"3202" t="str"><f t="shared" s6S3234"/><v/></c><c 0247"320="S3102" t="str"><f t="shared" s583234"/><v/></c><c f=47"3202" t="str"><f t="shared" s63"234"/><v/></c></row><row 47"3207" spans="19:29" x14ac:dyDescent="0.25"><c r47"320="S3102" t="str"><f t="shared" s5="239"/><v/></c><cT047"3202" t="str"><f t="shared" s60"234"/><v/></c><c2047"3202" t="str"><f t="shared" s6S3234"/><v/></c><c r47"3202" t="str"><f t="shared" s6S3234"/><v/></c><c 0247"320="S3102" t="str"><f t="shared" s583234"/><v/></c><c f=47"3202" t="str"><f t="shared" s63"234"/><v/></c></row><row 47"3208" spans="19:29" x14ac:dyDescent="0.25"><c r47"320="S3102" t="str"><f t="shared" s5="239"/><v/></c><cT047"3202" t="str"><f t="shared" s60"234"/><v/></c><c2047"3202" t="str"><f t="shared" s6S3234"/><v/></c><c r47"3202" t="str"><f t="shared" s6S3234"/><v/></c><c 0247"320="S3102" t="str"><f t="shared" s583234"/><v/></c><c f=47"3202" t="str"><f t="shared" s63"234"/><v/></c></row><row 47"3199" spans="19:29" x14ac:dyDescent="0.25"><c r47"319="S3102" t="str"><f t="shared" s5="239"/><v/></c><cT047"3102" t="str"><f t="shared" s60"234"/><v/></c><c2047S3102" t="str"><f t="shared" s6S3234"/><v/></c><c r47"3102" t="str"><f t="shared" s6S3234"/><v/></c><c 0247"319="S3102" t="str"><f t="shared" s583234"/><v/></c><c f=47"3102" t="str"><f t="shared" s63"234"/><v/></c></row><row 480" spans="19:2S31x14ac:dyDescen02"0.2="></c><c20480" s="S3102" t="str"><f t="shared" s5="239"/><v/></c><cT0480" 02" t="str"><f t="shared" s60"234"/><v/></c><c20480" 02" t="str"><f t="shared" s6S3234"/><v/></c><c r480" 02" t="str"><f t="shared" s6S3234"/><v/></c><c 02480" s="3"102" t="str"><f t="shared" s583234"/><v/></c><c f=480" 02" t="str"><f t="shared" s63"234"/><v/></c></row><row 481" spans="19:2S31x14ac:dyDescen02"0.2="></c><c2048S319="S3102" t="str"><f t="shared" s5="239"/><v/></c><cT048S3102" t="str"><f t="shared" s60"234"/><v/></c><c2048S3 02" t="str"><f t="shared" s6S3234"/><v/></c><c r48S3102" t="str"><f t="shared" s6S3234"/><v/></c><c 0248B3201" s="3" t="str"><f t="shared" s583234"/><v/></c><c f=48S3102" t="str"><f t="shared" s63"234"/><v/></c></row><row 48S3 spans="19:2S31x14ac:dyDescen02"0.2="></c><c2048S319="S3102" t="str"><f t="shared" s5="239"/><v/></c><cT048S3102" t="str"><f t="shared" s60"234"/><v/></c><c2048S3102" t="str"><f t="shared" s6S3234"/><v/></c><c r48S3102" t="str"><f t="shared" s6S3234"/><v/></c><c 0248B3192" s="3" t="str"><f t="shared" s583234"/><v/></c><c f=48S3102" t="str"><f t="shared" s63"234"/><v/></c></row><row 483" spans="19:2S31x14ac:dyDescen02"0.2="></c><c20483"19="S3102" t="str"><f t="shared" s5="239"/><v/></c><cT0483"102" t="str"><f t="shared" s60"234"/><v/></c><c20483"102" t="str"><f t="shared" s6S3234"/><v/></c><c r483"102" t="str"><f t="shared" s6S3234"/><v/></c><c 02483" s="S3102" t="str"><f t="shared" s583234"/><v/></c><c f=483"102" t="str"><f t="shared" s63"234"/><v/></c></row><row 48"3204" spans="19:29" x14ac:dyDescent="0.25"><c r48"319="S3102" t="str"><f t="shared" s5="239"/><v/></c><cT048"3102" t="str"><f t="shared" s60"234"/><v/></c><c2048"3102" t="str"><f t="shared" s6S3234"/><v/></c><c r48"3102" t="str"><f t="shared" s6S3234"/><v/></c><c 0248B3204" s="3" t="str"><f t="shared" s583234"/><v/></c><c f=48"3102" t="str"><f t="shared" s63"234"/><v/></c></row><row 48"3205" spans="19:29" x14ac:dyDescent="0.25"><c r48"319="S3102" t="str"><f t="shared" s5="239"/><v/></c><cT048"3102" t="str"><f t="shared" s60"234"/><v/></c><c2048"3102" t="str"><f t="shared" s6S3234"/><v/></c><c r48"3102" t="str"><f t="shared" s6S3234"/><v/></c><c 0248B3205"S3102" t="str"><f t="shared" s583234"/><v/></c><c f=48"3102" t="str"><f t="shared" s63"234"/><v/></c></row><row 48"3206" spans="19:29" x14ac:dyDescent="0.25"><c r48"320="S3102" t="str"><f t="shared" s5="239"/><v/></c><cT048"3202" t="str"><f t="shared" s60"234"/><v/></c><c2048C3202" t="str"><f t="shared" s6S3234"/><v/></c><c r48"3202" t="str"><f t="shared" s6S3234"/><v/></c><c 0248"320="S3102" t="str"><f t="shared" s583234"/><v/></c><c f=48"3202" t="str"><f t="shared" s63"234"/><v/></c></row><row 48"3207" spans="19:29" x14ac:dyDescent="0.25"><c r48"320="S3102" t="str"><f t="shared" s5="239"/><v/></c><cT048"3202" t="str"><f t="shared" s60"234"/><v/></c><c2048"3202" t="str"><f t="shared" s6S3234"/><v/></c><c r48"3202" t="str"><f t="shared" s6S3234"/><v/></c><c 0248"320="S3102" t="str"><f t="shared" s583234"/><v/></c><c f=48"3202" t="str"><f t="shared" s63"234"/><v/></c></row><row 48"3208" spans="19:29" x14ac:dyDescent="0.25"><c r48"320="S3102" t="str"><f t="shared" s5="239"/><v/></c><cT048"3202" t="str"><f t="shared" s60"234"/><v/></c><c2048"3202" t="str"><f t="shared" s6S3234"/><v/></c><c r48"3202" t="str"><f t="shared" s6S3234"/><v/></c><c 0248"320="S3102" t="str"><f t="shared" s583234"/><v/></c><c f=48"3202" t="str"><f t="shared" s63"234"/><v/></c></row><row 48"3199" spans="19:29" x14ac:dyDescent="0.25"><c r48"319="S3102" t="str"><f t="shared" s5="239"/><v/></c><cT048"3102" t="str"><f t="shared" s60"234"/><v/></c><c2048S3102" t="str"><f t="shared" s6S3234"/><v/></c><c r48"3102" t="str"><f t="shared" s6S3234"/><v/></c><c 0248"319="S3102" t="str"><f t="shared" s583234"/><v/></c><c f=48"3102" t="str"><f t="shared" s63"234"/><v/></c></row><row 490" spans="19:2S31x14ac:dyDescen02"0.2="></c><c20490" s="S3102" t="str"><f t="shared" s5="239"/><v/></c><cT0490" 02" t="str"><f t="shared" s60"234"/><v/></c><c20490" 02" t="str"><f t="shared" s6S3234"/><v/></c><c r490" 02" t="str"><f t="shared" s6S3234"/><v/></c><c 02490" s="3"102" t="str"><f t="shared" s583234"/><v/></c><c f=490" 02" t="str"><f t="shared" s63"234"/><v/></c></row><row 491" spans="19:2S31x14ac:dyDescen02"0.2="></c><c2049S319="S3102" t="str"><f t="shared" s5="239"/><v/></c><cT049S3102" t="str"><f t="shared" s60"234"/><v/></c><c2049S3 02" t="str"><f t="shared" s6S3234"/><v/></c><c r49S3102" t="str"><f t="shared" s6S3234"/><v/></c><c 0249B3201" s="3" t="str"><f t="shared" s583234"/><v/></c><c f=49S3102" t="str"><f t="shared" s63"234"/><v/></c></row><row 49S3 spans="19:2S31x14ac:dyDescen02"0.2="></c><c2049S319="S3102" t="str"><f t="shared" s5="239"/><v/></c><cT049S3102" t="str"><f t="shared" s60"234"/><v/></c><c2049S3102" t="str"><f t="shared" s6S3234"/><v/></c><c r49S3102" t="str"><f t="shared" s6S3234"/><v/></c><c 0249B3192" s="3" t="str"><f t="shared" s583234"/><v/></c><c f=49S3102" t="str"><f t="shared" s63"234"/><v/></c></row><row 493" spans="19:2S31x14ac:dyDescen02"0.2="></c><c20493"19="S3102" t="str"><f t="shared" s5="239"/><v/></c><cT0493"102" t="str"><f t="shared" s60"234"/><v/></c><c20493"102" t="str"><f t="shared" s6S3234"/><v/></c><c r493"102" t="str"><f t="shared" s6S3234"/><v/></c><c 02493" s="S3102" t="str"><f t="shared" s583234"/><v/></c><c f=493"102" t="str"><f t="shared" s63"234"/><v/></c></row><row 49"3204" spans="19:29" x14ac:dyDescent="0.25"><c r49"319="S3102" t="str"><f t="shared" s5="239"/><v/></c><cT049"3102" t="str"><f t="shared" s60"234"/><v/></c><c2049"3102" t="str"><f t="shared" s6S3234"/><v/></c><c r49"3102" t="str"><f t="shared" s6S3234"/><v/></c><c 0249B3204" s="3" t="str"><f t="shared" s583234"/><v/></c><c f=49"3102" t="str"><f t="shared" s63"234"/><v/></c></row><row 49"3205" spans="19:29" x14ac:dyDescent="0.25"><c r49"319="S3102" t="str"><f t="shared" s5="239"/><v/></c><cT049"3102" t="str"><f t="shared" s60"234"/><v/></c><c2049"3102" t="str"><f t="shared" s6S3234"/><v/></c><c r49"3102" t="str"><f t="shared" s6S3234"/><v/></c><c 0249B3205"S3102" t="str"><f t="shared" s583234"/><v/></c><c f=49"3102" t="str"><f t="shared" s63"234"/><v/></c></row><row 49"3206" spans="19:29" x14ac:dyDescent="0.25"><c r49"320="S3102" t="str"><f t="shared" s5="239"/><v/></c><cT049"3202" t="str"><f t="shared" s60"234"/><v/></c><c2049C3202" t="str"><f t="shared" s6S3234"/><v/></c><c r49"3202" t="str"><f t="shared" s6S3234"/><v/></c><c 0249"320="S3102" t="str"><f t="shared" s583234"/><v/></c><c f=49"3202" t="str"><f t="shared" s63"234"/><v/></c></row><row 49"3207" spans="19:29" x14ac:dyDescent="0.25"><c r49"320="S3102" t="str"><f t="shared" s5="239"/><v/></c><cT049"3202" t="str"><f t="shared" s60"234"/><v/></c><c2049"3202" t="str"><f t="shared" s6S3234"/><v/></c><c r49"3202" t="str"><f t="shared" s6S3234"/><v/></c><c 0249"320="S3102" t="str"><f t="shared" s583234"/><v/></c><c f=49"3202" t="str"><f t="shared" s63"234"/><v/></c></row><row 49"3208" spans="19:29" x14ac:dyDescent="0.25"><c r49"320="S3102" t="str"><f t="shared" s5="239"/><v/></c><cT049"3202" t="str"><f t="shared" s60"234"/><v/></c><c2049"3202" t="str"><f t="shared" s6S3234"/><v/></c><c r49"3202" t="str"><f t="shared" s6S3234"/><v/></c><c 0249"320="S3102" t="str"><f t="shared" s583234"/><v/></c><c f=49"3202" t="str"><f t="shared" s63"234"/><v/></c></row><row 49"3199" spans="19:29" x14ac:dyDescent="0.25"><c r49"319="S3102" t="str"><f t="shared" s5="239"/><v/></c><cT049"3102" t="str"><f t="shared" s60"234"/><v/></c><c2049S3102" t="str"><f t="shared" s6S3234"/><v/></c><c r49"3102" t="str"><f t="shared" s6S3234"/><v/></c><c 0249"319="S3102" t="str"><f t="shared" s583234"/><v/></c><c f=49"3102" t="str"><f t="shared" s63"234"/><v/></c></row><row 500" spans="19:2S31x14ac:dyDescen02"0.2="></c><c20500" s="S3102" t="str"><f t="shared" s5="239"/><v/></c><cT0500" 02" t="str"><f t="shared" s60"234"/><v/></c><c20500" 02" t="str"><f t="shared" s6S3234"/><v/></c><c r500" 02" t="str"><f t="shared" s6S3234"/><v/></c><c 02500" s="3"102" t="str"><f t="shared" s583234"/><v/></c><c f=500" 02" t="str"><f t="shared" s63"234"/><v/></c></row><row 501" spans="19:2S31x14ac:dyDescen02"0.2="></c><c2050S319="S3102" t="str"><f t="shared" s5="239"/><v/></c><cT050S3102" t="str"><f t="shared" s60"234"/><v/></c><c2050S3 02" t="str"><f t="shared" s6S3234"/><v/></c><c r50S3102" t="str"><f t="shared" s6S3234"/><v/></c><c 0250B3201" s="3" t="str"><f t="shared" s583234"/><v/></c><c f=50S3102" t="str"><f t="shared" s63"234"/><v/></c></row><row 50S3 spans="19:2S31x14ac:dyDescen02"0.2="></c><c2050S319="S3102" t="str"><f t="shared" s5="239"/><v/></c><cT050S3102" t="str"><f t="shared" s60"234"/><v/></c><c2050S3102" t="str"><f t="shared" s6S3234"/><v/></c><c r50S3102" t="str"><f t="shared" s6S3234"/><v/></c><c 0250B3192" s="3" t="str"><f t="shared" s583234"/><v/></c><c f=50S3102" t="str"><f t="shared" s63"234"/><v/></c></row><row 503" spans="19:2S31x14ac:dyDescen02"0.2="></c><c20503"19="S3102" t="str"><f t="shared" s5="239"/><v/></c><cT0503"102" t="str"><f t="shared" s60"234"/><v/></c><c20503"102" t="str"><f t="shared" s6S3234"/><v/></c><c r503"102" t="str"><f t="shared" s6S3234"/><v/></c><c 02503" s="S3102" t="str"><f t="shared" s583234"/><v/></c><c f=503"102" t="str"><f t="shared" s63"234"/><v/></c></row><row 50"3204" spans="19:29" x14ac:dyDescent="0.25"><c r50"319="S3102" t="str"><f t="shared" s5="239"/><v/></c><cT050"3102" t="str"><f t="shared" s60"234"/><v/></c><c2050"3102" t="str"><f t="shared" s6S3234"/><v/></c><c r50"3102" t="str"><f t="shared" s6S3234"/><v/></c><c 0250B3204" s="3" t="str"><f t="shared" s583234"/><v/></c><c f=50"3102" t="str"><f t="shared" s63"234"/><v/></c></row><row 50"3205" spans="19:29" x14ac:dyDescent="0.25"><c r50"319="S3102" t="str"><f t="shared" s5="239"/><v/></c><cT050"3102" t="str"><f t="shared" s60"234"/><v/></c><c2050"3102" t="str"><f t="shared" s6S3234"/><v/></c><c r50"3102" t="str"><f t="shared" s6S3234"/><v/></c><c 0250B3205"S3102" t="str"><f t="shared" s583234"/><v/></c><c f=50"3102" t="str"><f t="shared" s63"234"/><v/></c></row><row 50"3206" spans="19:29" x14ac:dyDescent="0.25"><c r50"320="S3102" t="str"><f t="shared" s5="239"/><v/></c><cT050"3202" t="str"><f t="shared" s60"234"/><v/></c><c2050C3202" t="str"><f t="shared" s6S3234"/><v/></c><c r50"3202" t="str"><f t="shared" s6S3234"/><v/></c><c 0250"320="S3102" t="str"><f t="shared" s583234"/><v/></c><c f=50"3202" t="str"><f t="shared" s63"234"/><v/></c></row><row 50"3207" spans="19:29" x14ac:dyDescent="0.25"><c r50"320="S3102" t="str"><f t="shared" s5="239"/><v/></c><cT050"3202" t="str"><f t="shared" s60"234"/><v/></c><c2050"3202" t="str"><f t="shared" s6S3234"/><v/></c><c r50"3202" t="str"><f t="shared" s6S3234"/><v/></c><c 0250"320="S3102" t="str"><f t="shared" s583234"/><v/></c><c f=50"3202" t="str"><f t="shared" s63"234"/><v/></c></row><row 50"3208" spans="19:29" x14ac:dyDescent="0.25"><c r50"320="S3102" t="str"><f t="shared" s5="239"/><v/></c><cT050"3202" t="str"><f t="shared" s60"234"/><v/></c><c2050"3202" t="str"><f t="shared" s6S3234"/><v/></c><c r50"3202" t="str"><f t="shared" s6S3234"/><v/></c><c 0250"320="S3102" t="str"><f t="shared" s583234"/><v/></c><c f=50"3202" t="str"><f t="shared" s63"234"/><v/></c></row><row 50"3199" spans="19:29" x14ac:dyDescent="0.25"><c r50"319="S3102" t="str"><f t="shared" s5="239"/><v/></c><cT050"3102" t="str"><f t="shared" s60"234"/><v/></c><c2050S3102" t="str"><f t="shared" s6S3234"/><v/></c><c r50"3102" t="str"><f t="shared" s6S3234"/><v/></c><c 0250"319="S3102" t="str"><f t="shared" s583234"/><v/></c><c f=50"3102" t="str"><f t="shared" s63"234"/><v/></c></row><row 510" spans="19:2S31x14ac:dyDescen02"0.2="></c><c20510" s="S3102" t="str"><f t="shared" s5="239"/><v/></c><cT0510" 02" t="str"><f t="shared" s60"234"/><v/></c><c20510" 02" t="str"><f t="shared" s6S3234"/><v/></c><c r510" 02" t="str"><f t="shared" s6S3234"/><v/></c><c 02510" s="3"102" t="str"><f t="shared" s583234"/><v/></c><c f=510" 02" t="str"><f t="shared" s63"234"/><v/></c></row><row 511" spans="19:2S31x14ac:dyDescen02"0.2="></c><c2051S319="S3102" t="str"><f t="shared" s5="239"/><v/></c><cT051S3102" t="str"><f t="shared" s60"234"/><v/></c><c2051S3 02" t="str"><f t="shared" s6S3234"/><v/></c><c r51S3102" t="str"><f t="shared" s6S3234"/><v/></c><c 0251B3201" s="3" t="str"><f t="shared" s583234"/><v/></c><c f=51S3102" t="str"><f t="shared" s63"234"/><v/></c></row><row 51S3 spans="19:2S31x14ac:dyDescen02"0.2="></c><c2051S319="S3102" t="str"><f t="shared" s5="239"/><v/></c><cT051S3102" t="str"><f t="shared" s60"234"/><v/></c><c2051S3102" t="str"><f t="shared" s6S3234"/><v/></c><c r51S3102" t="str"><f t="shared" s6S3234"/><v/></c><c 0251B3192" s="3" t="str"><f t="shared" s583234"/><v/></c><c f=51S3102" t="str"><f t="shared" s63"234"/><v/></c></row><row 513" spans="19:2S31x14ac:dyDescen02"0.2="></c><c20513"19="S3102" t="str"><f t="shared" s5="239"/><v/></c><cT0513"102" t="str"><f t="shared" s60"234"/><v/></c><c20513"102" t="str"><f t="shared" s6S3234"/><v/></c><c r513"102" t="str"><f t="shared" s6S3234"/><v/></c><c 02513" s="S3102" t="str"><f t="shared" s583234"/><v/></c><c f=513"102" t="str"><f t="shared" s63"234"/><v/></c></row><row 51"3204" spans="19:29" x14ac:dyDescent="0.25"><c r51"319="S3102" t="str"><f t="shared" s5="239"/><v/></c><cT051"3102" t="str"><f t="shared" s60"234"/><v/></c><c2051"3102" t="str"><f t="shared" s6S3234"/><v/></c><c r51"3102" t="str"><f t="shared" s6S3234"/><v/></c><c 0251B3204" s="3" t="str"><f t="shared" s583234"/><v/></c><c f=51"3102" t="str"><f t="shared" s63"234"/><v/></c></row><row 51"3205" spans="19:29" x14ac:dyDescent="0.25"><c r51"319="S3102" t="str"><f t="shared" s5="239"/><v/></c><cT051"3102" t="str"><f t="shared" s60"234"/><v/></c><c2051"3102" t="str"><f t="shared" s6S3234"/><v/></c><c r51"3102" t="str"><f t="shared" s6S3234"/><v/></c><c 0251B3205"S3102" t="str"><f t="shared" s583234"/><v/></c><c f=51"3102" t="str"><f t="shared" s63"234"/><v/></c></row><row 51"3206" spans="19:29" x14ac:dyDescent="0.25"><c r51"320="S3102" t="str"><f t="shared" s5="239"/><v/></c><cT051"3202" t="str"><f t="shared" s60"234"/><v/></c><c2051C3202" t="str"><f t="shared" s6S3234"/><v/></c><c r51"3202" t="str"><f t="shared" s6S3234"/><v/></c><c 0251"320="S3102" t="str"><f t="shared" s583234"/><v/></c><c f=51"3202" t="str"><f t="shared" s63"234"/><v/></c></row><row 51"3207" spans="19:29" x14ac:dyDescent="0.25"><c r51"320="S3102" t="str"><f t="shared" s5="239"/><v/></c><cT051"3202" t="str"><f t="shared" s60"234"/><v/></c><c2051"3202" t="str"><f t="shared" s6S3234"/><v/></c><c r51"3202" t="str"><f t="shared" s6S3234"/><v/></c><c 0251"320="S3102" t="str"><f t="shared" s583234"/><v/></c><c f=51"3202" t="str"><f t="shared" s63"234"/><v/></c></row><row 51"3208" spans="19:29" x14ac:dyDescent="0.25"><c r51"320="S3102" t="str"><f t="shared" s5="239"/><v/></c><cT051"3202" t="str"><f t="shared" s60"234"/><v/></c><c2051"3202" t="str"><f t="shared" s6S3234"/><v/></c><c r51"3202" t="str"><f t="shared" s6S3234"/><v/></c><c 0251"320="S3102" t="str"><f t="shared" s583234"/><v/></c><c f=51"3202" t="str"><f t="shared" s63"234"/><v/></c></row><row 51"3199" spans="19:29" x14ac:dyDescent="0.25"><c r51"319="S3102" t="str"><f t="shared" s5="239"/><v/></c><cT051"3102" t="str"><f t="shared" s60"234"/><v/></c><c2051S3102" t="str"><f t="shared" s6S3234"/><v/></c><c r51"3102" t="str"><f t="shared" s6S3234"/><v/></c><c 0251"319="S3102" t="str"><f t="shared" s583234"/><v/></c><c f=51"3102" t="str"><f t="shared" s63"234"/><v/></c></row><row 520" spans="19:2S31x14ac:dyDescen02"0.2="></c><c20520" s="S3102" t="str"><f t="shared" s5="239"/><v/></c><cT0520" 02" t="str"><f t="shared" s60"234"/><v/></c><c20520" 02" t="str"><f t="shared" s6S3234"/><v/></c><c r520" 02" t="str"><f t="shared" s6S3234"/><v/></c><c 02520" s="3"102" t="str"><f t="shared" s583234"/><v/></c><c f=520" 02" t="str"><f t="shared" s63"234"/><v/></c></row><row 521" spans="19:2S31x14ac:dyDescen02"0.2="></c><c2052B320="S3102" t="str"><f t="shared" s5="239"/><v/></c><cT052S3102" t="str"><f t="shared" s60"234"/><v/></c><c2052B3202" t="str"><f t="shared" s6S3234"/><v/></c><c r52B3202" t="str"><f t="shared" s6S3234"/><v/></c><c 0252B3201" s="3" t="str"><f t="shared" s583234"/><v/></c><c f=52B3202" t="str"><f t="shared" s63"234"/><v/></c></row><row 52S3 spans="19:2S31x14ac:dyDescen02"0.2="></c><c2052S319="S3102" t="str"><f t="shared" s5="239"/><v/></c><cT052S3102" t="str"><f t="shared" s60"234"/><v/></c><c2052S3102" t="str"><f t="shared" s6S3234"/><v/></c><c r52S3102" t="str"><f t="shared" s6S3234"/><v/></c><c 0252B3192" s="3" t="str"><f t="shared" ref=52S320258"3196" s6"3>IF(ISBLANK(025223202),"", "10")</f><v/></c><c r=52S3102" t="str"><f t="shared" s63"234"/><v/></c></row><row 523" spans="19:2S31x14ac:dyDescen02"0.2="></c><c20523"19="S3102" t="str"><f t="shared" ref52332058"3206" s653>IF(ISBLANK(025233203),"5233203 )</f><v/></c><c r5233102" t="str"><f t="shared" ref5233T058"3206" s663>IF(ISBLANK(025233203),"5233203 )</f><v/></c><c205233102" t="str"><f t="shared" r2052332058"3206" s673>IF(ISBLANK(025233203),"5233203 )</f><v/></c><c205233102" t="str"><f t="shared" r2052332058"3206" s68">IF(ISBLANK(025233202),"", "SHOP_SKU")</f><v/></c><c r=523310="S3102" t="str"><f t="shared" s6"3234"/><v/></c><cef=5233102" t="str"><f t="shared" ref=5233ef=58"3206" s69">IF(ISBLANK(025233202),"", "New")</f><v/></c></row><row 52"3204" spans="19:29" x14ac:dyDescent="0.25"><c r52"320="S3102" t="str"><f t="shared" s6"3234"/><v/></c><cT052"3102" t="str"><f t="shared" s66"234"/><v/></c><c2052"3102" t="str"><f t="shared" s6="237"/><v/></c><c r52"3102" t="str"><f t="shared" s683234"/><v/></c><c 0252B3204" s="3" t="str"><f t="shared" s6"3234"/><v/></c><cef=52"3102" t="str"><f t="shared" s6="239"/><v/></c></row><row 52"3205" spans="19:29" x14ac:dyDescent="0.25"><c r52"320="S3102" t="str"><f t="shared" s6"3234"/><v/></c><cT052"3102" t="str"><f t="shared" s66"234"/><v/></c><c2052"3102" t="str"><f t="shared" s6="237"/><v/></c><c r52"3102" t="str"><f t="shared" s683234"/><v/></c><c 0252B3205"S3102" t="str"><f t="shared" s6"3234"/><v/></c><cef=52"3102" t="str"><f t="shared" s6="239"/><v/></c></row><row 52"3206" spans="19:29" x14ac:dyDescent="0.25"><c r52"320="S3102" t="str"><f t="shared" s6"3234"/><v/></c><cT052C3202" t="str"><f t="shared" s66"234"/><v/></c><c2052C3202" t="str"><f t="shared" s6="237"/><v/></c><c r52C3202" t="str"><f t="shared" s683234"/><v/></c><c 0252"320="S3102" t="str"><f t="shared" s6"3234"/><v/></c><cef=52C3202" t="str"><f t="shared" s6="239"/><v/></c></row><row 52"3207" spans="19:29" x14ac:dyDescent="0.25"><c r52"320="S3102" t="str"><f t="shared" s6"3234"/><v/></c><cT052"3202" t="str"><f t="shared" s66"234"/><v/></c><c2052"3202" t="str"><f t="shared" s6="237"/><v/></c><c r52"3202" t="str"><f t="shared" s683234"/><v/></c><c 0252"320="S3102" t="str"><f t="shared" s6"3234"/><v/></c><cef=52"3202" t="str"><f t="shared" s6="239"/><v/></c></row><row 52"3208" spans="19:29" x14ac:dyDescent="0.25"><c r52"320="S3102" t="str"><f t="shared" s6"3234"/><v/></c><cT052"3202" t="str"><f t="shared" s66"234"/><v/></c><c2052"3202" t="str"><f t="shared" s6="237"/><v/></c><c r52"3202" t="str"><f t="shared" s683234"/><v/></c><c 0252"320="S3102" t="str"><f t="shared" s6"3234"/><v/></c><cef=52"3202" t="str"><f t="shared" s6="239"/><v/></c></row><row 52"3199" spans="19:29" x14ac:dyDescent="0.25"><c r52"319="S3102" t="str"><f t="shared" s6"3234"/><v/></c><cT052S3102" t="str"><f t="shared" s66"234"/><v/></c><c2052S3102" t="str"><f t="shared" s6="237"/><v/></c><c r52S3102" t="str"><f t="shared" s683234"/><v/></c><c 0252"319="S3102" t="str"><f t="shared" s6"3234"/><v/></c><cef=52S3102" t="str"><f t="shared" s6="239"/><v/></c></row><row 530" spans="19:2S31x14ac:dyDescen02"0.2="></c><c20530" s="S3102" t="str"><f t="shared" s6"3234"/><v/></c><cT0530" 02" t="str"><f t="shared" s66"234"/><v/></c><c20530" 02" t="str"><f t="shared" s6="237"/><v/></c><c r530" 02" t="str"><f t="shared" s683234"/><v/></c><c 02530" s="3"102" t="str"><f t="shared" s6"3234"/><v/></c><cef=530" 02" t="str"><f t="shared" s6="239"/><v/></c></row><row 531" spans="19:2S31x14ac:dyDescen02"0.2="></c><c2053S319="S3102" t="str"><f t="shared" s6"3234"/><v/></c><cT053S3102" t="str"><f t="shared" s66"234"/><v/></c><c2053S3102" t="str"><f t="shared" s6="237"/><v/></c><c r53S3102" t="str"><f t="shared" s683234"/><v/></c><c 0253B3201" s="3" t="str"><f t="shared" s6"3234"/><v/></c><cef=53S3102" t="str"><f t="shared" s6="239"/><v/></c></row><row 53S3 spans="19:2S31x14ac:dyDescen02"0.2="></c><c2053S319="S3102" t="str"><f t="shared" s6"3234"/><v/></c><cT053S3102" t="str"><f t="shared" s66"234"/><v/></c><c2053S3102" t="str"><f t="shared" s6="237"/><v/></c><c r53S3102" t="str"><f t="shared" s683234"/><v/></c><c 0253B3192" s="3" t="str"><f t="shared" s6"3234"/><v/></c><cef=53S3102" t="str"><f t="shared" s6="239"/><v/></c></row><row 533" spans="19:2S31x14ac:dyDescen02"0.2="></c><c20533"19="S3102" t="str"><f t="shared" s6"3234"/><v/></c><cT0533"102" t="str"><f t="shared" s66"234"/><v/></c><c20533"102" t="str"><f t="shared" s6="237"/><v/></c><c r533"102" t="str"><f t="shared" s683234"/><v/></c><c 02533" s="S3102" t="str"><f t="shared" s6"3234"/><v/></c><cef=533"102" t="str"><f t="shared" s6="239"/><v/></c></row><row 53"3204" spans="19:29" x14ac:dyDescent="0.25"><c r53"319="S3102" t="str"><f t="shared" s6"3234"/><v/></c><cT053"3102" t="str"><f t="shared" s66"234"/><v/></c><c2053"3102" t="str"><f t="shared" s6="237"/><v/></c><c r53"3102" t="str"><f t="shared" s683234"/><v/></c><c 0253B3204" s="3" t="str"><f t="shared" s6"3234"/><v/></c><cef=53"3102" t="str"><f t="shared" s6="239"/><v/></c></row><row 53"3205" spans="19:29" x14ac:dyDescent="0.25"><c r53"319="S3102" t="str"><f t="shared" s6"3234"/><v/></c><cT053"3102" t="str"><f t="shared" s66"234"/><v/></c><c2053"3102" t="str"><f t="shared" s6="237"/><v/></c><c r53"3102" t="str"><f t="shared" s683234"/><v/></c><c 0253"319="3"102" t="str"><f t="shared" s6"3234"/><v/></c><cef=53"3102" t="str"><f t="shared" s6="239"/><v/></c></row><row 53"3206" spans="19:29" x14ac:dyDescent="0.25"><c r53"320="S3102" t="str"><f t="shared" s6"3234"/><v/></c><cT053C3202" t="str"><f t="shared" s66"234"/><v/></c><c2053"3202" t="str"><f t="shared" s6="237"/><v/></c><c r53C3202" t="str"><f t="shared" s683234"/><v/></c><c 0253"320="3"102" t="str"><f t="shared" s6"3234"/><v/></c><cef=53C3202" t="str"><f t="shared" s6="239"/><v/></c></row><row 53"3207" spans="19:29" x14ac:dyDescent="0.25"><c r53"320="S3102" t="str"><f t="shared" s6"3234"/><v/></c><cT053"3202" t="str"><f t="shared" s66"234"/><v/></c><c2053"3202" t="str"><f t="shared" s6="237"/><v/></c><c r53"3202" t="str"><f t="shared" s683234"/><v/></c><c 0253"320="3"102" t="str"><f t="shared" s6"3234"/><v/></c><cef=53"3202" t="str"><f t="shared" s6="239"/><v/></c></row><row 53"3208" spans="19:29" x14ac:dyDescent="0.25"><c r53"320="S3102" t="str"><f t="shared" s6"3234"/><v/></c><cT053"3202" t="str"><f t="shared" s66"234"/><v/></c><c2053"3202" t="str"><f t="shared" s6="237"/><v/></c><c r53"3202" t="str"><f t="shared" s683234"/><v/></c><c 0253"320="3"102" t="str"><f t="shared" s6"3234"/><v/></c><cef=53"3202" t="str"><f t="shared" s6="239"/><v/></c></row><row 53"3199" spans="19:29" x14ac:dyDescent="0.25"><c r53"319="S3102" t="str"><f t="shared" s6"3234"/><v/></c><cT053S3102" t="str"><f t="shared" s66"234"/><v/></c><c2053"3102" t="str"><f t="shared" s6="237"/><v/></c><c r53S3102" t="str"><f t="shared" s683234"/><v/></c><c 0253"319="3"102" t="str"><f t="shared" s6"3234"/><v/></c><cef=53S3102" t="str"><f t="shared" s6="239"/><v/></c></row><row 540" spans="19:2S31x14ac:dyDescen02"0.2="></c><c20540" s="S3102" t="str"><f t="shared" s6"3234"/><v/></c><cT0540" 02" t="str"><f t="shared" s66"234"/><v/></c><c20540" 02" t="str"><f t="shared" s6="237"/><v/></c><c r540" 02" t="str"><f t="shared" s683234"/><v/></c><c 02540" s="3"102" t="str"><f t="shared" s6"3234"/><v/></c><cef=540" 02" t="str"><f t="shared" s6="239"/><v/></c></row><row 541" spans="19:2S31x14ac:dyDescen02"0.2="></c><c20541" s="S3102" t="str"><f t="shared" s6"3234"/><v/></c><cT054S3102" t="str"><f t="shared" s66"234"/><v/></c><c20541" 02" t="str"><f t="shared" s6="237"/><v/></c><c r541" 02" t="str"><f t="shared" s683234"/><v/></c><c 0254B3201" s="3" t="str"><f t="shared" s6"3234"/><v/></c><cef=541" 02" t="str"><f t="shared" s6="239"/><v/></c></row><row 54S3 spans="19:2S31x14ac:dyDescen02"0.2="></c><c2054S319="S3102" t="str"><f t="shared" s6"3234"/><v/></c><cT054S3102" t="str"><f t="shared" s66"234"/><v/></c><c2054S3102" t="str"><f t="shared" s6="237"/><v/></c><c r54S3102" t="str"><f t="shared" s683234"/><v/></c><c 0254B3192" s="3" t="str"><f t="shared" s6"3234"/><v/></c><cef=54S3102" t="str"><f t="shared" s6="239"/><v/></c></row><row 543" spans="19:2S31x14ac:dyDescen02"0.2="></c><c20543"19="S3102" t="str"><f t="shared" s6"3234"/><v/></c><cT0543"102" t="str"><f t="shared" s66"234"/><v/></c><c20543"102" t="str"><f t="shared" s6="237"/><v/></c><c r543"102" t="str"><f t="shared" s683234"/><v/></c><c 02543" s="S3102" t="str"><f t="shared" s6"3234"/><v/></c><cef=543"102" t="str"><f t="shared" s6="239"/><v/></c></row><row 54"3204" spans="19:29" x14ac:dyDescent="0.25"><c r54"319="S3102" t="str"><f t="shared" s6"3234"/><v/></c><cT054"3102" t="str"><f t="shared" s66"234"/><v/></c><c2054"3102" t="str"><f t="shared" s6="237"/><v/></c><c r54"3102" t="str"><f t="shared" s683234"/><v/></c><c 0254B3204" s="3" t="str"><f t="shared" s6"3234"/><v/></c><cef=54"3102" t="str"><f t="shared" s6="239"/><v/></c></row><row 54"3205" spans="19:29" x14ac:dyDescent="0.25"><c r54"319="S3102" t="str"><f t="shared" s6"3234"/><v/></c><cT054"3102" t="str"><f t="shared" s66"234"/><v/></c><c2054"3102" t="str"><f t="shared" s6="237"/><v/></c><c r54"3102" t="str"><f t="shared" s683234"/><v/></c><c 0254B3205"S3102" t="str"><f t="shared" s6"3234"/><v/></c><cef=54"3102" t="str"><f t="shared" s6="239"/><v/></c></row><row 54"3206" spans="19:29" x14ac:dyDescent="0.25"><c r54"320="S3102" t="str"><f t="shared" s6"3234"/><v/></c><cT054"3202" t="str"><f t="shared" s66"234"/><v/></c><c2054"3202" t="str"><f t="shared" s6="237"/><v/></c><c r54"3202" t="str"><f t="shared" s683234"/><v/></c><c 0254"320="S3102" t="str"><f t="shared" s6"3234"/><v/></c><cef=54"3202" t="str"><f t="shared" s6="239"/><v/></c></row><row 54"3207" spans="19:29" x14ac:dyDescent="0.25"><c r54"320="S3102" t="str"><f t="shared" s6"3234"/><v/></c><cT054"3202" t="str"><f t="shared" s66"234"/><v/></c><c2054"3202" t="str"><f t="shared" s6="237"/><v/></c><c r54"3202" t="str"><f t="shared" s683234"/><v/></c><c 0254"320="S3102" t="str"><f t="shared" s6"3234"/><v/></c><cef=54"3202" t="str"><f t="shared" s6="239"/><v/></c></row><row 54"3208" spans="19:29" x14ac:dyDescent="0.25"><c r54"320="S3102" t="str"><f t="shared" s6"3234"/><v/></c><cT054"3202" t="str"><f t="shared" s66"234"/><v/></c><c2054"3202" t="str"><f t="shared" s6="237"/><v/></c><c r54"3202" t="str"><f t="shared" s683234"/><v/></c><c 0254"320="S3102" t="str"><f t="shared" s6"3234"/><v/></c><cef=54"3202" t="str"><f t="shared" s6="239"/><v/></c></row><row 54"3199" spans="19:29" x14ac:dyDescent="0.25"><c r54"319="S3102" t="str"><f t="shared" s6"3234"/><v/></c><cT054"3102" t="str"><f t="shared" s66"234"/><v/></c><c2054"3102" t="str"><f t="shared" s6="237"/><v/></c><c r54"3102" t="str"><f t="shared" s683234"/><v/></c><c 0254"319="S3102" t="str"><f t="shared" s6"3234"/><v/></c><cef=54"3102" t="str"><f t="shared" s6="239"/><v/></c></row><row 550" spans="19:2S31x14ac:dyDescen02"0.2="></c><c20550" s="S3102" t="str"><f t="shared" s6"3234"/><v/></c><cT0550" 02" t="str"><f t="shared" s66"234"/><v/></c><c20550" 02" t="str"><f t="shared" s6="237"/><v/></c><c r550" 02" t="str"><f t="shared" s683234"/><v/></c><c 02550" s="3"102" t="str"><f t="shared" s6"3234"/><v/></c><cef=550" 02" t="str"><f t="shared" s6="239"/><v/></c></row><row 551" spans="19:2S31x14ac:dyDescen02"0.2="></c><c2055S319="S3102" t="str"><f t="shared" s6"3234"/><v/></c><cT055S3102" t="str"><f t="shared" s66"234"/><v/></c><c20551" 02" t="str"><f t="shared" s6="237"/><v/></c><c r55S3102" t="str"><f t="shared" s683234"/><v/></c><c 0255B3201" s="3" t="str"><f t="shared" s6"3234"/><v/></c><cef=55S3102" t="str"><f t="shared" s6="239"/><v/></c></row><row 55S3 spans="19:2S31x14ac:dyDescen02"0.2="></c><c2055S319="S3102" t="str"><f t="shared" s6"3234"/><v/></c><cT055S3102" t="str"><f t="shared" s66"234"/><v/></c><c2055S3102" t="str"><f t="shared" s6="237"/><v/></c><c r55S3102" t="str"><f t="shared" s683234"/><v/></c><c 0255B3192" s="3" t="str"><f t="shared" s6"3234"/><v/></c><cef=55S3102" t="str"><f t="shared" s6="239"/><v/></c></row><row 553" spans="19:2S31x14ac:dyDescen02"0.2="></c><c20553"19="S3102" t="str"><f t="shared" s6"3234"/><v/></c><cT0553"102" t="str"><f t="shared" s66"234"/><v/></c><c20553"102" t="str"><f t="shared" s6="237"/><v/></c><c r553"102" t="str"><f t="shared" s683234"/><v/></c><c 02553" s="S3102" t="str"><f t="shared" s6"3234"/><v/></c><cef=553"102" t="str"><f t="shared" s6="239"/><v/></c></row><row 55"3204" spans="19:29" x14ac:dyDescent="0.25"><c r55"319="S3102" t="str"><f t="shared" s6"3234"/><v/></c><cT055"3102" t="str"><f t="shared" s66"234"/><v/></c><c2055"3102" t="str"><f t="shared" s6="237"/><v/></c><c r55"3102" t="str"><f t="shared" s683234"/><v/></c><c 0255B3204" s="3" t="str"><f t="shared" s6"3234"/><v/></c><cef=55"3102" t="str"><f t="shared" s6="239"/><v/></c></row><row 55"3205" spans="19:29" x14ac:dyDescent="0.25"><c r55"319="S3102" t="str"><f t="shared" s6"3234"/><v/></c><cT055"3102" t="str"><f t="shared" s66"234"/><v/></c><c2055"3102" t="str"><f t="shared" s6="237"/><v/></c><c r55"3102" t="str"><f t="shared" s683234"/><v/></c><c 0255B3205"S3102" t="str"><f t="shared" s6"3234"/><v/></c><cef=55"3102" t="str"><f t="shared" s6="239"/><v/></c></row><row 55"3206" spans="19:29" x14ac:dyDescent="0.25"><c r55"320="S3102" t="str"><f t="shared" s6"3234"/><v/></c><cT055"3202" t="str"><f t="shared" s66"234"/><v/></c><c2055"3202" t="str"><f t="shared" s6="237"/><v/></c><c r55"3202" t="str"><f t="shared" s683234"/><v/></c><c 0255"320="S3102" t="str"><f t="shared" s6"3234"/><v/></c><cef=55"3202" t="str"><f t="shared" s6="239"/><v/></c></row><row 55"3207" spans="19:29" x14ac:dyDescent="0.25"><c r55"320="S3102" t="str"><f t="shared" s6"3234"/><v/></c><cT055"3202" t="str"><f t="shared" s66"234"/><v/></c><c2055"3202" t="str"><f t="shared" s6="237"/><v/></c><c r55"3202" t="str"><f t="shared" s683234"/><v/></c><c 0255"320="S3102" t="str"><f t="shared" s6"3234"/><v/></c><cef=55"3202" t="str"><f t="shared" s6="239"/><v/></c></row><row 55"3208" spans="19:29" x14ac:dyDescent="0.25"><c r55"320="S3102" t="str"><f t="shared" s6"3234"/><v/></c><cT055"3202" t="str"><f t="shared" s66"234"/><v/></c><c2055"3202" t="str"><f t="shared" s6="237"/><v/></c><c r55"3202" t="str"><f t="shared" s683234"/><v/></c><c 0255"320="S3102" t="str"><f t="shared" s6"3234"/><v/></c><cef=55"3202" t="str"><f t="shared" s6="239"/><v/></c></row><row 55"3199" spans="19:29" x14ac:dyDescent="0.25"><c r55"319="S3102" t="str"><f t="shared" s6"3234"/><v/></c><cT055"3102" t="str"><f t="shared" s66"234"/><v/></c><c2055"3102" t="str"><f t="shared" s6="237"/><v/></c><c r55"3102" t="str"><f t="shared" s683234"/><v/></c><c 0255"319="S3102" t="str"><f t="shared" s6"3234"/><v/></c><cef=55"3102" t="str"><f t="shared" s6="239"/><v/></c></row><row 560" spans="19:2S31x14ac:dyDescen02"0.2="></c><c20560" s="S3102" t="str"><f t="shared" s6"3234"/><v/></c><cT0560" 02" t="str"><f t="shared" s66"234"/><v/></c><c20560" 02" t="str"><f t="shared" s6="237"/><v/></c><c r560" 02" t="str"><f t="shared" s683234"/><v/></c><c 02560" s="3"102" t="str"><f t="shared" s6"3234"/><v/></c><cef=560" 02" t="str"><f t="shared" s6="239"/><v/></c></row><row 561" spans="19:2S31x14ac:dyDescen02"0.2="></c><c2056S319="S3102" t="str"><f t="shared" s6"3234"/><v/></c><cT056S3102" t="str"><f t="shared" s66"234"/><v/></c><c20561" 02" t="str"><f t="shared" s6="237"/><v/></c><c r56S3102" t="str"><f t="shared" s683234"/><v/></c><c 0256B3201" s="3" t="str"><f t="shared" s6"3234"/><v/></c><cef=56S3102" t="str"><f t="shared" s6="239"/><v/></c></row><row 56S3 spans="19:2S31x14ac:dyDescen02"0.2="></c><c2056S319="S3102" t="str"><f t="shared" s6"3234"/><v/></c><cT056S3102" t="str"><f t="shared" s66"234"/><v/></c><c2056S3102" t="str"><f t="shared" s6="237"/><v/></c><c r56S3102" t="str"><f t="shared" s683234"/><v/></c><c 0256B3192" s="3" t="str"><f t="shared" s6"3234"/><v/></c><cef=56S3102" t="str"><f t="shared" s6="239"/><v/></c></row><row 563" spans="19:2S31x14ac:dyDescen02"0.2="></c><c20563"19="S3102" t="str"><f t="shared" s6"3234"/><v/></c><cT0563"102" t="str"><f t="shared" s66"234"/><v/></c><c20563"102" t="str"><f t="shared" s6="237"/><v/></c><c r563"102" t="str"><f t="shared" s683234"/><v/></c><c 02563" s="S3102" t="str"><f t="shared" s6"3234"/><v/></c><cef=563"102" t="str"><f t="shared" s6="239"/><v/></c></row><row 56"3204" spans="19:29" x14ac:dyDescent="0.25"><c r56"3 0=""3102" t="str"><f t="shared" s6"3234"/><v/></c><cT056"3 02" t="str"><f t="shared" s66"234"/><v/></c><c2056"3102" t="str"><f t="shared" s6="237"/><v/></c><c r56"3 02" t="str"><f t="shared" s683234"/><v/></c><c 0256B3204" s="3" t="str"><f t="shared" s6"3234"/><v/></c><cef=56"3 02" t="str"><f t="shared" s6="239"/><v/></c></row><row 56"3205" spans="19:29" x14ac:dyDescent="0.25"><c r56"3 0=""3102" t="str"><f t="shared" s6"3234"/><v/></c><cT056"3102" t="str"><f t="shared" s66"234"/><v/></c><c2056"3 02" t="str"><f t="shared" s6="237"/><v/></c><c r56"3102" t="str"><f t="shared" s683234"/><v/></c><c 0256"3 0="3"102" t="str"><f t="shared" s6"3234"/><v/></c><cef=56"3102" t="str"><f t="shared" s6="239"/><v/></c></row><row 56"3206" spans="19:29" x14ac:dyDescent="0.25"><c r56"320=""3102" t="str"><f t="shared" s6"3234"/><v/></c><cT056"3202" t="str"><f t="shared" s66"234"/><v/></c><c2056"3202" t="str"><f t="shared" s6="237"/><v/></c><c r56C3202" t="str"><f t="shared" s683234"/><v/></c><c 0256"320="3"102" t="str"><f t="shared" s6"3234"/><v/></c><cef=56C3202" t="str"><f t="shared" s6="239"/><v/></c></row><row 56"3207" spans="19:29" x14ac:dyDescent="0.25"><c r56"320=""3102" t="str"><f t="shared" s6"3234"/><v/></c><cT056"3202" t="str"><f t="shared" s66"234"/><v/></c><c2056"3202" t="str"><f t="shared" s6="237"/><v/></c><c r56"3202" t="str"><f t="shared" s683234"/><v/></c><c 0256"320="3"102" t="str"><f t="shared" s6"3234"/><v/></c><cef=56"3202" t="str"><f t="shared" s6="239"/><v/></c></row><row 56"3208" spans="19:29" x14ac:dyDescent="0.25"><c r56"320=""3102" t="str"><f t="shared" s6"3234"/><v/></c><cT056"3202" t="str"><f t="shared" s66"234"/><v/></c><c2056"3202" t="str"><f t="shared" s6="237"/><v/></c><c r56"3202" t="str"><f t="shared" s683234"/><v/></c><c 0256"320="3"102" t="str"><f t="shared" s6"3234"/><v/></c><cef=56"3202" t="str"><f t="shared" s6="239"/><v/></c></row><row 56"3199" spans="19:29" x14ac:dyDescent="0.25"><c r56"319=""3102" t="str"><f t="shared" s6"3234"/><v/></c><cT056"3102" t="str"><f t="shared" s66"234"/><v/></c><c2056"3102" t="str"><f t="shared" s6="237"/><v/></c><c r56S3102" t="str"><f t="shared" s683234"/><v/></c><c 0256"319="3"102" t="str"><f t="shared" s6"3234"/><v/></c><cef=56S3102" t="str"><f t="shared" s6="239"/><v/></c></row><row 570" spans="19:2S31x14ac:dyDescen02"0.2="></c><c20570" s=""3102" t="str"><f t="shared" s6"3234"/><v/></c><cT0570" 02" t="str"><f t="shared" s66"234"/><v/></c><c20570" 02" t="str"><f t="shared" s6="237"/><v/></c><c r570" 02" t="str"><f t="shared" s683234"/><v/></c><c 02570" s="3"102" t="str"><f t="shared" s6"3234"/><v/></c><cef=570" 02" t="str"><f t="shared" s6="239"/><v/></c></row><row 571" spans="19:2S31x14ac:dyDescen02"0.2="></c><c20571" s=""3102" t="str"><f t="shared" s6"3234"/><v/></c><cT057S3102" t="str"><f t="shared" s66"234"/><v/></c><c20571" 02" t="str"><f t="shared" s6="237"/><v/></c><c r571" 02" t="str"><f t="shared" s683234"/><v/></c><c 0257B3201" s="3" t="str"><f t="shared" s6"3234"/><v/></c><cef=571" 02" t="str"><f t="shared" s6="239"/><v/></c></row><row 57S3 spans="19:2S31x14ac:dyDescen02"0.2="></c><c2057S319="S3102" t="str"><f t="shared" s6"3234"/><v/></c><cT057S3102" t="str"><f t="shared" s66"234"/><v/></c><c2057S3102" t="str"><f t="shared" s6="237"/><v/></c><c r57S3102" t="str"><f t="shared" s683234"/><v/></c><c 0257B3192" s="3" t="str"><f t="shared" s6"3234"/><v/></c><cef=57S3102" t="str"><f t="shared" s6="239"/><v/></c></row><row 573" spans="19:2S31x14ac:dyDescen02"0.2="></c><c20573"19="S3102" t="str"><f t="shared" s6"3234"/><v/></c><cT0573"102" t="str"><f t="shared" s66"234"/><v/></c><c20573"102" t="str"><f t="shared" s6="237"/><v/></c><c r573"102" t="str"><f t="shared" s683234"/><v/></c><c 02573" s="S3102" t="str"><f t="shared" s6"3234"/><v/></c><cef=573"102" t="str"><f t="shared" s6="239"/><v/></c></row><row 57"3204" spans="19:29" x14ac:dyDescent="0.25"><c r57"3 0=""3102" t="str"><f t="shared" s6"3234"/><v/></c><cT057"3 02" t="str"><f t="shared" s66"234"/><v/></c><c2057"3102" t="str"><f t="shared" s6="237"/><v/></c><c r57"3 02" t="str"><f t="shared" s683234"/><v/></c><c 0257B3204" s="3" t="str"><f t="shared" s6"3234"/><v/></c><cef=57"3 02" t="str"><f t="shared" s6="239"/><v/></c></row><row 57"3205" spans="19:29" x14ac:dyDescent="0.25"><c r57"3 0=""3102" t="str"><f t="shared" s6"3234"/><v/></c><cT057"3 02" t="str"><f t="shared" s66"234"/><v/></c><c2057"3 02" t="str"><f t="shared" s6="237"/><v/></c><c r57"3 02" t="str"><f t="shared" s683234"/><v/></c><c 0257B3205"S3102" t="str"><f t="shared" s6"3234"/><v/></c><cef=57"3 02" t="str"><f t="shared" s6="239"/><v/></c></row><row 57"3206" spans="19:29" x14ac:dyDescent="0.25"><c r57"320="S3102" t="str"><f t="shared" s6"3234"/><v/></c><cT057"3202" t="str"><f t="shared" s66"234"/><v/></c><c2057"3202" t="str"><f t="shared" s6="237"/><v/></c><c r57"3202" t="str"><f t="shared" s683234"/><v/></c><c 0257"320="S3102" t="str"><f t="shared" s6"3234"/><v/></c><cef=57"3202" t="str"><f t="shared" s6="239"/><v/></c></row><row 57"3207" spans="19:29" x14ac:dyDescent="0.25"><c r57"320="S3102" t="str"><f t="shared" s6"3234"/><v/></c><cT057"3202" t="str"><f t="shared" s66"234"/><v/></c><c2057"3202" t="str"><f t="shared" s6="237"/><v/></c><c r57"3202" t="str"><f t="shared" s683234"/><v/></c><c 0257"320="S3102" t="str"><f t="shared" s6"3234"/><v/></c><cef=57"3202" t="str"><f t="shared" s6="239"/><v/></c></row><row 57"3208" spans="19:29" x14ac:dyDescent="0.25"><c r57"320="S3102" t="str"><f t="shared" s6"3234"/><v/></c><cT057"3202" t="str"><f t="shared" s66"234"/><v/></c><c2057"3202" t="str"><f t="shared" s6="237"/><v/></c><c r57"3202" t="str"><f t="shared" s683234"/><v/></c><c 0257"320="S3102" t="str"><f t="shared" s6"3234"/><v/></c><cef=57"3202" t="str"><f t="shared" s6="239"/><v/></c></row><row 57"3199" spans="19:29" x14ac:dyDescent="0.25"><c r57"319="S3102" t="str"><f t="shared" s6"3234"/><v/></c><cT057"3102" t="str"><f t="shared" s66"234"/><v/></c><c2057"3102" t="str"><f t="shared" s6="237"/><v/></c><c r57"3102" t="str"><f t="shared" s683234"/><v/></c><c 0257"319="S3102" t="str"><f t="shared" s6"3234"/><v/></c><cef=57"3102" t="str"><f t="shared" s6="239"/><v/></c></row><row 580" spans="19:2S31x14ac:dyDescen02"0.2="></c><c20580" s=""3102" t="str"><f t="shared" s6"3234"/><v/></c><cT0580" 02" t="str"><f t="shared" s66"234"/><v/></c><c20580" 02" t="str"><f t="shared" s6="237"/><v/></c><c r580" 02" t="str"><f t="shared" s683234"/><v/></c><c 02580" s="3"102" t="str"><f t="shared" s6"3234"/><v/></c><cef=580" 02" t="str"><f t="shared" s6="239"/><v/></c></row><row 581" spans="19:2S31x14ac:dyDescen02"0.2="></c><c2058S319="S3102" t="str"><f t="shared" s6"3234"/><v/></c><cT058S3102" t="str"><f t="shared" s66"234"/><v/></c><c20581" 02" t="str"><f t="shared" s6="237"/><v/></c><c r58S3102" t="str"><f t="shared" s683234"/><v/></c><c 0258B3201" s="3" t="str"><f t="shared" s6"3234"/><v/></c><cef=58S3102" t="str"><f t="shared" s6="239"/><v/></c></row><row 58S3 spans="19:2S31x14ac:dyDescen02"0.2="></c><c2058S319="S3102" t="str"><f t="shared" s6"3234"/><v/></c><cT058S3102" t="str"><f t="shared" s66"234"/><v/></c><c2058S3102" t="str"><f t="shared" s6="237"/><v/></c><c r58S3102" t="str"><f t="shared" s683234"/><v/></c><c 0258B3192" s="3" t="str"><f t="shared" s6"3234"/><v/></c><cef=58S3102" t="str"><f t="shared" s6="239"/><v/></c></row><row 583" spans="19:2S31x14ac:dyDescen02"0.2="></c><c20583"19="S3102" t="str"><f t="shared" s6"3234"/><v/></c><cT0583"102" t="str"><f t="shared" s66"234"/><v/></c><c20583"102" t="str"><f t="shared" s6="237"/><v/></c><c r583"102" t="str"><f t="shared" s683234"/><v/></c><c 02583" s="S3102" t="str"><f t="shared" s6"3234"/><v/></c><cef=583"102" t="str"><f t="shared" s6="239"/><v/></c></row><row 58"3204" spans="19:29" x14ac:dyDescent="0.25"><c r58"3 0=""3102" t="str"><f t="shared" s6"3234"/><v/></c><cT058"3 02" t="str"><f t="shared" s66"234"/><v/></c><c2058"3102" t="str"><f t="shared" s6="237"/><v/></c><c r58"3 02" t="str"><f t="shared" s683234"/><v/></c><c 0258B3204" s="3" t="str"><f t="shared" s6"3234"/><v/></c><cef=58"3 02" t="str"><f t="shared" s6="239"/><v/></c></row><row 58"3205" spans="19:29" x14ac:dyDescent="0.25"><c r58"319=""3102" t="str"><f t="shared" s6"3234"/><v/></c><cT058"3 02" t="str"><f t="shared" s66"234"/><v/></c><c2058"3102" t="str"><f t="shared" s6="237"/><v/></c><c r58"3102" t="str"><f t="shared" s683234"/><v/></c><c 0258B3205"S3102" t="str"><f t="shared" s6"3234"/><v/></c><cef=58"3102" t="str"><f t="shared" s6="239"/><v/></c></row><row 58"3206" spans="19:29" x14ac:dyDescent="0.25"><c r58"320=""3102" t="str"><f t="shared" s6"3234"/><v/></c><cT058"3202" t="str"><f t="shared" s66"234"/><v/></c><c2058"3202" t="str"><f t="shared" s6="237"/><v/></c><c r58C3202" t="str"><f t="shared" s683234"/><v/></c><c 0258"320="3"102" t="str"><f t="shared" ref=586320264"3196" s70">IF(ISBLANK(025863202),"", "10")</f><v/></c><c r=58"3202" t="str"><f t="shared" s6="239"/><v/></c></row><row 58"3207" spans="19:29" x14ac:dyDescent="0.25"><c r58"320="S3102" t="str"><f t="shared" ref587320650" s6" s71">IF(ISBLANK(025873203),"5873203 )</f><v/></c><c r58"3202" t="str"><f t="shared" ref5873T0650" s6" s72">IF(ISBLANK(025873203),"5873203 )</f><v/></c><c2058"3202" t="str"><f t="shared" r2058"320650" s6" s73">IF(ISBLANK(025873203),"5873203 )</f><v/></c><c2058"3202" t="str"><f t="shared" r2058"320650" s6" s7"3>IF(ISBLANK(025873203) "SHOP_SKU")</f><v234/c></c><c20258"320="S3102" t="str"><f t="shared" s70"234"/><v/></c><cef=58"3202" t="str"><f t="shared" ref=5873ef=650" s6" s753>IF(ISBLANK(025873203) "", "New")</f><v/></c></row><row 58"3208" spans="19:29" x14ac:dyDescent="0.25"><c r58"320=""3102" t="str"><f t="shared" s71"234"/><v/></c><cT058"3202" t="str"><f t="shared" s7S3234"/><v/></c><c2058"3202" t="str"><f t="shared" s73"234"/><v/></c><c r58"3202" t="str"><f t="shared" s7"3234"/><v/></c><ce0258"320="S3102" t="str"><f t="shared" s70"234"/><v/></c><cef=58"3202" t="str"><f t="shared" s7"3234"/><v/></c></row><row 58"3199" spans="19:29" x14ac:dyDescent="0.25"><c r58"319=""3102" t="str"><f t="shared" s71"234"/><v/></c><cT058"3102" t="str"><f t="shared" s7S3234"/><v/></c><c2058"3102" t="str"><f t="shared" s73"234"/><v/></c><c r58"3102" t="str"><f t="shared" s7"3234"/><v/></c><ce0258"319="S3102" t="str"><f t="shared" s70"234"/><v/></c><cef=58"3102" t="str"><f t="shared" s7"3234"/><v/></c></row><row 590" spans="19:2S31x14ac:dyDescen02"0.2="></c><c20590" s=""3102" t="str"><f t="shared" s71"234"/><v/></c><cT0590" 02" t="str"><f t="shared" s7S3234"/><v/></c><c20590" 02" t="str"><f t="shared" s73"234"/><v/></c><c r590" 02" t="str"><f t="shared" s7"3234"/><v/></c><ce02590" s="3"102" t="str"><f t="shared" s70"234"/><v/></c><cef=590" 02" t="str"><f t="shared" s7"3234"/><v/></c></row><row 591" spans="19:2S31x14ac:dyDescen02"0.2="></c><c2059S319="S3102" t="str"><f t="shared" s71"234"/><v/></c><cT059S3102" t="str"><f t="shared" s7S3234"/><v/></c><c2059S3102" t="str"><f t="shared" s73"234"/><v/></c><c r59S3102" t="str"><f t="shared" s7"3234"/><v/></c><ce0259B3201" s="3" t="str"><f t="shared" s70"234"/><v/></c><cef=59S3102" t="str"><f t="shared" s7"3234"/><v/></c></row><row 59S3 spans="19:2S31x14ac:dyDescen02"0.2="></c><c2059S319="S3102" t="str"><f t="shared" s71"234"/><v/></c><cT059S3102" t="str"><f t="shared" s7S3234"/><v/></c><c2059S3102" t="str"><f t="shared" s73"234"/><v/></c><c r59S3102" t="str"><f t="shared" s7"3234"/><v/></c><ce0259B3192" s="3" t="str"><f t="shared" s70"234"/><v/></c><cef=59S3102" t="str"><f t="shared" s7"3234"/><v/></c></row><row 593" spans="19:2S31x14ac:dyDescen02"0.2="></c><c20593"19="S3102" t="str"><f t="shared" s71"234"/><v/></c><cT0593"102" t="str"><f t="shared" s7S3234"/><v/></c><c20593"102" t="str"><f t="shared" s73"234"/><v/></c><c r593"102" t="str"><f t="shared" s7"3234"/><v/></c><ce02593" s="S3102" t="str"><f t="shared" s70"234"/><v/></c><cef=593"102" t="str"><f t="shared" s7"3234"/><v/></c></row><row 59"3204" spans="19:29" x14ac:dyDescent="0.25"><c r59"3 0=""3102" t="str"><f t="shared" s71"234"/><v/></c><cT059"3102" t="str"><f t="shared" s7S3234"/><v/></c><c2059"3102" t="str"><f t="shared" s73"234"/><v/></c><c r59"3102" t="str"><f t="shared" s7"3234"/><v/></c><ce0259B3204" s="3" t="str"><f t="shared" s70"234"/><v/></c><cef=59"3102" t="str"><f t="shared" s7"3234"/><v/></c></row><row 59"3205" spans="19:29" x14ac:dyDescent="0.25"><c r59"3 0=""3102" t="str"><f t="shared" s71"234"/><v/></c><cT059"3102" t="str"><f t="shared" s7S3234"/><v/></c><c2059"3102" t="str"><f t="shared" s73"234"/><v/></c><c r59"3102" t="str"><f t="shared" s7"3234"/><v/></c><ce0259B3205"S3102" t="str"><f t="shared" s70"234"/><v/></c><cef=59"3102" t="str"><f t="shared" s7"3234"/><v/></c></row><row 59"3206" spans="19:29" x14ac:dyDescent="0.25"><c r59"320="S3102" t="str"><f t="shared" s71"234"/><v/></c><cT059C3202" t="str"><f t="shared" s7S3234"/><v/></c><c2059C3202" t="str"><f t="shared" s73"234"/><v/></c><c r59C3202" t="str"><f t="shared" s7"3234"/><v/></c><ce0259"320="S3102" t="str"><f t="shared" s70"234"/><v/></c><cef=59C3202" t="str"><f t="shared" s7"3234"/><v/></c></row><row 59"3207" spans="19:29" x14ac:dyDescent="0.25"><c r59"320="S3102" t="str"><f t="shared" s71"234"/><v/></c><cT059"3202" t="str"><f t="shared" s7S3234"/><v/></c><c2059"3202" t="str"><f t="shared" s73"234"/><v/></c><c r59"3202" t="str"><f t="shared" s7"3234"/><v/></c><ce0259"320="S3102" t="str"><f t="shared" s70"234"/><v/></c><cef=59"3202" t="str"><f t="shared" s7"3234"/><v/></c></row><row 59"3208" spans="19:29" x14ac:dyDescent="0.25"><c r59"320="S3102" t="str"><f t="shared" s71"234"/><v/></c><cT059"3202" t="str"><f t="shared" s7S3234"/><v/></c><c2059"3202" t="str"><f t="shared" s73"234"/><v/></c><c r59"3202" t="str"><f t="shared" s7"3234"/><v/></c><ce0259"320="S3102" t="str"><f t="shared" s70"234"/><v/></c><cef=59"3202" t="str"><f t="shared" s7"3234"/><v/></c></row><row 59"3199" spans="19:29" x14ac:dyDescent="0.25"><c r59"319="S3102" t="str"><f t="shared" s71"234"/><v/></c><cT059"3102" t="str"><f t="shared" s7S3234"/><v/></c><c2059"3102" t="str"><f t="shared" s73"234"/><v/></c><c r59"3102" t="str"><f t="shared" s7"3234"/><v/></c><ce0259"319="3"102" t="str"><f t="shared" s70"234"/><v/></c><cef=59"3102" t="str"><f t="shared" s7"3234"/><v/></c></row><row 600" spans="19:2S31x14ac:dyDescen02"0.2="></c><c20600" s=""3102" t="str"><f t="shared" s71"234"/><v/></c><cT0600" 02" t="str"><f t="shared" s7S3234"/><v/></c><c20600" 02" t="str"><f t="shared" s73"234"/><v/></c><c r600" 02" t="str"><f t="shared" s7"3234"/><v/></c><ce02600" s="3"102" t="str"><f t="shared" s70"234"/><v/></c><cef=600" 02" t="str"><f t="shared" s7"3234"/><v/></c></row><row 601" spans="19:2S31x14ac:dyDescen02"0.2="></c><c20601" s=""3102" t="str"><f t="shared" s71"234"/><v/></c><cT060S3102" t="str"><f t="shared" s7S3234"/><v/></c><c20601" 02" t="str"><f t="shared" s73"234"/><v/></c><c r601" 02" t="str"><f t="shared" s7"3234"/><v/></c><ce0260B3201" s="3" t="str"><f t="shared" s70"234"/><v/></c><cef=601" 02" t="str"><f t="shared" s7"3234"/><v/></c></row><row 60S3 spans="19:2S31x14ac:dyDescen02"0.2="></c><c2060S319="S3102" t="str"><f t="shared" s71"234"/><v/></c><cT060S3102" t="str"><f t="shared" s7S3234"/><v/></c><c2060S3102" t="str"><f t="shared" s73"234"/><v/></c><c r60S3102" t="str"><f t="shared" s7"3234"/><v/></c><ce0260B3192" s="3" t="str"><f t="shared" s70"234"/><v/></c><cef=60S3102" t="str"><f t="shared" s7"3234"/><v/></c></row><row 603" spans="19:2S31x14ac:dyDescen02"0.2="></c><c20603"19="S3102" t="str"><f t="shared" s71"234"/><v/></c><cT0603"102" t="str"><f t="shared" s7S3234"/><v/></c><c20603"102" t="str"><f t="shared" s73"234"/><v/></c><c r603"102" t="str"><f t="shared" s7"3234"/><v/></c><ce02603" s="S3102" t="str"><f t="shared" s70"234"/><v/></c><cef=603"102" t="str"><f t="shared" s7"3234"/><v/></c></row><row 60"3204" spans="19:29" x14ac:dyDescent="0.25"><c r60"3 0=""3102" t="str"><f t="shared" s71"234"/><v/></c><cT060"3 02" t="str"><f t="shared" s7S3234"/><v/></c><c2060"3102" t="str"><f t="shared" s73"234"/><v/></c><c r60"3 02" t="str"><f t="shared" s7"3234"/><v/></c><ce0260B3204" s="3" t="str"><f t="shared" s70"234"/><v/></c><cef=60"3 02" t="str"><f t="shared" s7"3234"/><v/></c></row><row 60"3205" spans="19:29" x14ac:dyDescent="0.25"><c r60"3 0=""3102" t="str"><f t="shared" s71"234"/><v/></c><cT060"3 02" t="str"><f t="shared" s7S3234"/><v/></c><c2060"3102" t="str"><f t="shared" s73"234"/><v/></c><c r60"3 02" t="str"><f t="shared" s7"3234"/><v/></c><ce0260B3205"S3102" t="str"><f t="shared" s70"234"/><v/></c><cef=60"3 02" t="str"><f t="shared" s7"3234"/><v/></c></row><row 60"3206" spans="19:29" x14ac:dyDescent="0.25"><c r60"320="S3102" t="str"><f t="shared" s71"234"/><v/></c><cT060"3202" t="str"><f t="shared" s7S3234"/><v/></c><c2060C3202" t="str"><f t="shared" s73"234"/><v/></c><c r60"3202" t="str"><f t="shared" s7"3234"/><v/></c><ce0260"320="S3102" t="str"><f t="shared" s70"234"/><v/></c><cef=60"3202" t="str"><f t="shared" s7"3234"/><v/></c></row><row 60"3207" spans="19:29" x14ac:dyDescent="0.25"><c r60"320="S3102" t="str"><f t="shared" s71"234"/><v/></c><cT060"3202" t="str"><f t="shared" s7S3234"/><v/></c><c2060"3202" t="str"><f t="shared" s73"234"/><v/></c><c r60"3202" t="str"><f t="shared" s7"3234"/><v/></c><ce0260"320="S3102" t="str"><f t="shared" s70"234"/><v/></c><cef=60"3202" t="str"><f t="shared" s7"3234"/><v/></c></row><row 60"3208" spans="19:29" x14ac:dyDescent="0.25"><c r60"320="S3102" t="str"><f t="shared" s71"234"/><v/></c><cT060"3202" t="str"><f t="shared" s7S3234"/><v/></c><c2060"3202" t="str"><f t="shared" s73"234"/><v/></c><c r60"3202" t="str"><f t="shared" s7"3234"/><v/></c><ce0260"320="S3102" t="str"><f t="shared" s70"234"/><v/></c><cef=60"3202" t="str"><f t="shared" s7"3234"/><v/></c></row><row 60"3199" spans="19:29" x14ac:dyDescent="0.25"><c r60"319="S3102" t="str"><f t="shared" s71"234"/><v/></c><cT060"3102" t="str"><f t="shared" s7S3234"/><v/></c><c2060"3102" t="str"><f t="shared" s73"234"/><v/></c><c r60"3102" t="str"><f t="shared" s7"3234"/><v/></c><ce0260"319="S3102" t="str"><f t="shared" s70"234"/><v/></c><cef=60"3102" t="str"><f t="shared" s7"3234"/><v/></c></row><row 610" spans="19:2S31x14ac:dyDescen02"0.2="></c><c20610" s=""3102" t="str"><f t="shared" s71"234"/><v/></c><cT0610" 02" t="str"><f t="shared" s7S3234"/><v/></c><c20610" 02" t="str"><f t="shared" s73"234"/><v/></c><c r610" 02" t="str"><f t="shared" s7"3234"/><v/></c><ce02610" s="3"102" t="str"><f t="shared" s70"234"/><v/></c><cef=610" 02" t="str"><f t="shared" s7"3234"/><v/></c></row><row 611" spans="19:2S31x14ac:dyDescen02"0.2="></c><c2061S319="S3102" t="str"><f t="shared" s71"234"/><v/></c><cT061S3102" t="str"><f t="shared" s7S3234"/><v/></c><c2061S3102" t="str"><f t="shared" s73"234"/><v/></c><c r61S3102" t="str"><f t="shared" s7"3234"/><v/></c><ce0261B3201" s="3" t="str"><f t="shared" s70"234"/><v/></c><cef=61S3102" t="str"><f t="shared" s7"3234"/><v/></c></row><row 61S3 spans="19:2S31x14ac:dyDescen02"0.2="></c><c2061S319="S3102" t="str"><f t="shared" s71"234"/><v/></c><cT061S3102" t="str"><f t="shared" s7S3234"/><v/></c><c2061S3102" t="str"><f t="shared" s73"234"/><v/></c><c r61S3102" t="str"><f t="shared" s7"3234"/><v/></c><ce0261B3192" s="3" t="str"><f t="shared" s70"234"/><v/></c><cef=61S3102" t="str"><f t="shared" s7"3234"/><v/></c></row><row 613" spans="19:2S31x14ac:dyDescen02"0.2="></c><c20613"19="S3102" t="str"><f t="shared" s71"234"/><v/></c><cT0613"102" t="str"><f t="shared" s7S3234"/><v/></c><c20613"102" t="str"><f t="shared" s73"234"/><v/></c><c r613"102" t="str"><f t="shared" s7"3234"/><v/></c><ce02613" s="S3102" t="str"><f t="shared" s70"234"/><v/></c><cef=613"102" t="str"><f t="shared" s7"3234"/><v/></c></row><row 61"3204" spans="19:29" x14ac:dyDescent="0.25"><c r61"3 0=""3102" t="str"><f t="shared" s71"234"/><v/></c><cT061"3 02" t="str"><f t="shared" s7S3234"/><v/></c><c2061"3102" t="str"><f t="shared" s73"234"/><v/></c><c r61"3 02" t="str"><f t="shared" s7"3234"/><v/></c><ce0261B3204" s="3" t="str"><f t="shared" s70"234"/><v/></c><cef=61"3 02" t="str"><f t="shared" s7"3234"/><v/></c></row><row 61"3205" spans="19:29" x14ac:dyDescent="0.25"><c r61"3 0=""3102" t="str"><f t="shared" s71"234"/><v/></c><cT061"3 02" t="str"><f t="shared" s7S3234"/><v/></c><c2061"3102" t="str"><f t="shared" s73"234"/><v/></c><c r61"3 02" t="str"><f t="shared" s7"3234"/><v/></c><ce0261B3205"S3102" t="str"><f t="shared" s70"234"/><v/></c><cef=61"3 02" t="str"><f t="shared" s7"3234"/><v/></c></row><row 61"3206" spans="19:29" x14ac:dyDescent="0.25"><c r61"320="S3102" t="str"><f t="shared" s71"234"/><v/></c><cT061"3202" t="str"><f t="shared" s7S3234"/><v/></c><c2061C3202" t="str"><f t="shared" s73"234"/><v/></c><c r61"3202" t="str"><f t="shared" s7"3234"/><v/></c><ce0261"320="S3102" t="str"><f t="shared" s70"234"/><v/></c><cef=61"3202" t="str"><f t="shared" s7"3234"/><v/></c></row><row 61"3207" spans="19:29" x14ac:dyDescent="0.25"><c r61"320="S3102" t="str"><f t="shared" s71"234"/><v/></c><cT061"3202" t="str"><f t="shared" s7S3234"/><v/></c><c2061"3202" t="str"><f t="shared" s73"234"/><v/></c><c r61"3202" t="str"><f t="shared" s7"3234"/><v/></c><ce0261"320="S3102" t="str"><f t="shared" s70"234"/><v/></c><cef=61"3202" t="str"><f t="shared" s7"3234"/><v/></c></row><row 61"3208" spans="19:29" x14ac:dyDescent="0.25"><c r61"320="S3102" t="str"><f t="shared" s71"234"/><v/></c><cT061"3202" t="str"><f t="shared" s7S3234"/><v/></c><c2061"3202" t="str"><f t="shared" s73"234"/><v/></c><c r61"3202" t="str"><f t="shared" s7"3234"/><v/></c><ce0261"320="S3102" t="str"><f t="shared" s70"234"/><v/></c><cef=61"3202" t="str"><f t="shared" s7"3234"/><v/></c></row><row 61"3199" spans="19:29" x14ac:dyDescent="0.25"><c r61"319="S3102" t="str"><f t="shared" s71"234"/><v/></c><cT061"3102" t="str"><f t="shared" s7S3234"/><v/></c><c2061"3102" t="str"><f t="shared" s73"234"/><v/></c><c r61"3102" t="str"><f t="shared" s7"3234"/><v/></c><ce0261"319="S3102" t="str"><f t="shared" s70"234"/><v/></c><cef=61"3102" t="str"><f t="shared" s7"3234"/><v/></c></row><row 620" spans="19:2S31x14ac:dyDescen02"0.2="></c><c20620" s=""3102" t="str"><f t="shared" s71"234"/><v/></c><cT0620" 02" t="str"><f t="shared" s7S3234"/><v/></c><c20620" 02" t="str"><f t="shared" s73"234"/><v/></c><c r620" 02" t="str"><f t="shared" s7"3234"/><v/></c><ce02620" s="3"102" t="str"><f t="shared" s70"234"/><v/></c><cef=620" 02" t="str"><f t="shared" s7"3234"/><v/></c></row><row 621" spans="19:2S31x14ac:dyDescen02"0.2="></c><c2062S319="S3102" t="str"><f t="shared" s71"234"/><v/></c><cT062S3102" t="str"><f t="shared" s7S3234"/><v/></c><c2062S3102" t="str"><f t="shared" s73"234"/><v/></c><c r62S3102" t="str"><f t="shared" s7"3234"/><v/></c><ce0262B3201" s="3" t="str"><f t="shared" s70"234"/><v/></c><cef=62S3102" t="str"><f t="shared" s7"3234"/><v/></c></row><row 62S3 spans="19:2S31x14ac:dyDescen02"0.2="></c><c2062S319="S3102" t="str"><f t="shared" s71"234"/><v/></c><cT062S3102" t="str"><f t="shared" s7S3234"/><v/></c><c2062S3102" t="str"><f t="shared" s73"234"/><v/></c><c r62S3102" t="str"><f t="shared" s7"3234"/><v/></c><ce0262B3192" s="3" t="str"><f t="shared" s70"234"/><v/></c><cef=62S3102" t="str"><f t="shared" s7"3234"/><v/></c></row><row 623" spans="19:2S31x14ac:dyDescen02"0.2="></c><c20623"19="S3102" t="str"><f t="shared" s71"234"/><v/></c><cT0623"102" t="str"><f t="shared" s7S3234"/><v/></c><c20623"102" t="str"><f t="shared" s73"234"/><v/></c><c r623"102" t="str"><f t="shared" s7"3234"/><v/></c><ce02623" s="S3102" t="str"><f t="shared" s70"234"/><v/></c><cef=623"102" t="str"><f t="shared" s7"3234"/><v/></c></row><row 62"3204" spans="19:29" x14ac:dyDescent="0.25"><c r62"3 0=""3102" t="str"><f t="shared" s71"234"/><v/></c><cT062"3 02" t="str"><f t="shared" s7S3234"/><v/></c><c2062"3102" t="str"><f t="shared" s73"234"/><v/></c><c r62"3 02" t="str"><f t="shared" s7"3234"/><v/></c><ce0262B3204" s="3" t="str"><f t="shared" s70"234"/><v/></c><cef=62"3 02" t="str"><f t="shared" s7"3234"/><v/></c></row><row 62"3205" spans="19:29" x14ac:dyDescent="0.25"><c r62"3 0=""3102" t="str"><f t="shared" s71"234"/><v/></c><cT062"3 02" t="str"><f t="shared" s7S3234"/><v/></c><c2062"3102" t="str"><f t="shared" s73"234"/><v/></c><c r62"3 02" t="str"><f t="shared" s7"3234"/><v/></c><ce0262B3205"S3102" t="str"><f t="shared" s70"234"/><v/></c><cef=62"3 02" t="str"><f t="shared" s7"3234"/><v/></c></row><row 62"3206" spans="19:29" x14ac:dyDescent="0.25"><c r62"320="S3102" t="str"><f t="shared" s71"234"/><v/></c><cT062"3202" t="str"><f t="shared" s7S3234"/><v/></c><c2062C3202" t="str"><f t="shared" s73"234"/><v/></c><c r62"3202" t="str"><f t="shared" s7"3234"/><v/></c><ce0262"320="S3102" t="str"><f t="shared" s70"234"/><v/></c><cef=62"3202" t="str"><f t="shared" s7"3234"/><v/></c></row><row 62"3207" spans="19:29" x14ac:dyDescent="0.25"><c r62"320="S3102" t="str"><f t="shared" s71"234"/><v/></c><cT062"3202" t="str"><f t="shared" s7S3234"/><v/></c><c2062"3202" t="str"><f t="shared" s73"234"/><v/></c><c r62"3202" t="str"><f t="shared" s7"3234"/><v/></c><ce0262"320="S3102" t="str"><f t="shared" s70"234"/><v/></c><cef=62"3202" t="str"><f t="shared" s7"3234"/><v/></c></row><row 62"3208" spans="19:29" x14ac:dyDescent="0.25"><c r62"320="S3102" t="str"><f t="shared" s71"234"/><v/></c><cT062"3202" t="str"><f t="shared" s7S3234"/><v/></c><c2062"3202" t="str"><f t="shared" s73"234"/><v/></c><c r62"3202" t="str"><f t="shared" s7"3234"/><v/></c><ce0262"320="S3102" t="str"><f t="shared" s70"234"/><v/></c><cef=62"3202" t="str"><f t="shared" s7"3234"/><v/></c></row><row 62"3199" spans="19:29" x14ac:dyDescent="0.25"><c r62"319="S3102" t="str"><f t="shared" s71"234"/><v/></c><cT062"3102" t="str"><f t="shared" s7S3234"/><v/></c><c2062"3102" t="str"><f t="shared" s73"234"/><v/></c><c r62"3102" t="str"><f t="shared" s7"3234"/><v/></c><ce0262"319="S3102" t="str"><f t="shared" s70"234"/><v/></c><cef=62"3102" t="str"><f t="shared" s7"3234"/><v/></c></row><row 630" spans="19:2S31x14ac:dyDescen02"0.2="></c><c20630" s=""3102" t="str"><f t="shared" s71"234"/><v/></c><cT0630" 02" t="str"><f t="shared" s7S3234"/><v/></c><c20630" 02" t="str"><f t="shared" s73"234"/><v/></c><c r630" 02" t="str"><f t="shared" s7"3234"/><v/></c><ce02630" s="3"102" t="str"><f t="shared" s70"234"/><v/></c><cef=630" 02" t="str"><f t="shared" s7"3234"/><v/></c></row><row 631" spans="19:2S31x14ac:dyDescen02"0.2="></c><c2063S319="S3102" t="str"><f t="shared" s71"234"/><v/></c><cT063S3102" t="str"><f t="shared" s7S3234"/><v/></c><c2063S3102" t="str"><f t="shared" s73"234"/><v/></c><c r63S3102" t="str"><f t="shared" s7"3234"/><v/></c><ce0263B3201" s="3" t="str"><f t="shared" s70"234"/><v/></c><cef=63S3102" t="str"><f t="shared" s7"3234"/><v/></c></row><row 63S3 spans="19:2S31x14ac:dyDescen02"0.2="></c><c2063S319="S3102" t="str"><f t="shared" s71"234"/><v/></c><cT063S3102" t="str"><f t="shared" s7S3234"/><v/></c><c2063S3102" t="str"><f t="shared" s73"234"/><v/></c><c r63S3102" t="str"><f t="shared" s7"3234"/><v/></c><ce0263B3192" s="3" t="str"><f t="shared" s70"234"/><v/></c><cef=63S3102" t="str"><f t="shared" s7"3234"/><v/></c></row><row 633" spans="19:2S31x14ac:dyDescen02"0.2="></c><c20633"19="S3102" t="str"><f t="shared" s71"234"/><v/></c><cT0633"102" t="str"><f t="shared" s7S3234"/><v/></c><c20633"102" t="str"><f t="shared" s73"234"/><v/></c><c r633"102" t="str"><f t="shared" s7"3234"/><v/></c><ce02633" s="S3102" t="str"><f t="shared" s70"234"/><v/></c><cef=633"102" t="str"><f t="shared" s7"3234"/><v/></c></row><row 63"3204" spans="19:29" x14ac:dyDescent="0.25"><c r63"3 0=""3102" t="str"><f t="shared" s71"234"/><v/></c><cT063"3 02" t="str"><f t="shared" s7S3234"/><v/></c><c2063"3102" t="str"><f t="shared" s73"234"/><v/></c><c r63"3 02" t="str"><f t="shared" s7"3234"/><v/></c><ce0263B3204" s="3" t="str"><f t="shared" s70"234"/><v/></c><cef=63"3 02" t="str"><f t="shared" s7"3234"/><v/></c></row><row 63"3205" spans="19:29" x14ac:dyDescent="0.25"><c r63"3 0=""3102" t="str"><f t="shared" s71"234"/><v/></c><cT063"3 02" t="str"><f t="shared" s7S3234"/><v/></c><c2063"3102" t="str"><f t="shared" s73"234"/><v/></c><c r63"3 02" t="str"><f t="shared" s7"3234"/><v/></c><ce0263B3205"S3102" t="str"><f t="shared" s70"234"/><v/></c><cef=63"3 02" t="str"><f t="shared" s7"3234"/><v/></c></row><row 63"3206" spans="19:29" x14ac:dyDescent="0.25"><c r63"320="S3102" t="str"><f t="shared" s71"234"/><v/></c><cT063"3202" t="str"><f t="shared" s7S3234"/><v/></c><c2063C3202" t="str"><f t="shared" s73"234"/><v/></c><c r63"3202" t="str"><f t="shared" s7"3234"/><v/></c><ce0263"320="S3102" t="str"><f t="shared" s70"234"/><v/></c><cef=63"3202" t="str"><f t="shared" s7"3234"/><v/></c></row><row 63"3207" spans="19:29" x14ac:dyDescent="0.25"><c r63"320="S3102" t="str"><f t="shared" s71"234"/><v/></c><cT063"3202" t="str"><f t="shared" s7S3234"/><v/></c><c2063"3202" t="str"><f t="shared" s73"234"/><v/></c><c r63"3202" t="str"><f t="shared" s7"3234"/><v/></c><ce0263"320="S3102" t="str"><f t="shared" s70"234"/><v/></c><cef=63"3202" t="str"><f t="shared" s7"3234"/><v/></c></row><row 63"3208" spans="19:29" x14ac:dyDescent="0.25"><c r63"320="S3102" t="str"><f t="shared" s71"234"/><v/></c><cT063"3202" t="str"><f t="shared" s7S3234"/><v/></c><c2063"3202" t="str"><f t="shared" s73"234"/><v/></c><c r63"3202" t="str"><f t="shared" s7"3234"/><v/></c><ce0263"320="S3102" t="str"><f t="shared" s70"234"/><v/></c><cef=63"3202" t="str"><f t="shared" s7"3234"/><v/></c></row><row 63"3199" spans="19:29" x14ac:dyDescent="0.25"><c r63"319="S3102" t="str"><f t="shared" s71"234"/><v/></c><cT063"3102" t="str"><f t="shared" s7S3234"/><v/></c><c2063"3102" t="str"><f t="shared" s73"234"/><v/></c><c r63"3102" t="str"><f t="shared" s7"3234"/><v/></c><ce0263"319="S3102" t="str"><f t="shared" s70"234"/><v/></c><cef=63"3102" t="str"><f t="shared" s7"3234"/><v/></c></row><row 640" spans="19:2S31x14ac:dyDescen02"0.2="></c><c20640" s=""3102" t="str"><f t="shared" s71"234"/><v/></c><cT0640" 02" t="str"><f t="shared" s7S3234"/><v/></c><c20640" 02" t="str"><f t="shared" s73"234"/><v/></c><c r640" 02" t="str"><f t="shared" s7"3234"/><v/></c><ce02640" s="3"102" t="str"><f t="shared" s70"234"/><v/></c><cef=640" 02" t="str"><f t="shared" s7"3234"/><v/></c></row><row 641" spans="19:2S31x14ac:dyDescen02"0.2="></c><c2064S319="S3102" t="str"><f t="shared" s71"234"/><v/></c><cT064S3102" t="str"><f t="shared" s7S3234"/><v/></c><c2064S3102" t="str"><f t="shared" s73"234"/><v/></c><c r64S3102" t="str"><f t="shared" s7"3234"/><v/></c><ce0264B3201" s="3" t="str"><f t="shared" s70"234"/><v/></c><cef=64S3102" t="str"><f t="shared" s7"3234"/><v/></c></row><row 64S3 spans="19:2S31x14ac:dyDescen02"0.2="></c><c2064S319="S3102" t="str"><f t="shared" s71"234"/><v/></c><cT064S3102" t="str"><f t="shared" s7S3234"/><v/></c><c2064S3102" t="str"><f t="shared" s73"234"/><v/></c><c r64S3102" t="str"><f t="shared" s7"3234"/><v/></c><ce0264B3192" s="3" t="str"><f t="shared" s70"234"/><v/></c><cef=64S3102" t="str"><f t="shared" s7"3234"/><v/></c></row><row 643" spans="19:2S31x14ac:dyDescen02"0.2="></c><c20643"19="S3102" t="str"><f t="shared" s71"234"/><v/></c><cT0643"102" t="str"><f t="shared" s7S3234"/><v/></c><c20643"102" t="str"><f t="shared" s73"234"/><v/></c><c r643"102" t="str"><f t="shared" s7"3234"/><v/></c><ce02643" s="S3102" t="str"><f t="shared" s70"234"/><v/></c><cef=643"102" t="str"><f t="shared" s7"3234"/><v/></c></row><row 64"3204" spans="19:29" x14ac:dyDescent="0.25"><c r64"3 0=""3102" t="str"><f t="shared" s71"234"/><v/></c><cT064"3 02" t="str"><f t="shared" s7S3234"/><v/></c><c2064"3102" t="str"><f t="shared" s73"234"/><v/></c><c r64"3 02" t="str"><f t="shared" s7"3234"/><v/></c><ce0264B3204" s="3" t="str"><f t="shared" s70"234"/><v/></c><cef=64"3 02" t="str"><f t="shared" s7"3234"/><v/></c></row><row 64"3205" spans="19:29" x14ac:dyDescent="0.25"><c r64"3 0=""3102" t="str"><f t="shared" s71"234"/><v/></c><cT064"3 02" t="str"><f t="shared" s7S3234"/><v/></c><c2064"3102" t="str"><f t="shared" s73"234"/><v/></c><c r64"3 02" t="str"><f t="shared" s7"3234"/><v/></c><ce0264B3205"S3102" t="str"><f t="shared" s70"234"/><v/></c><cef=64"3 02" t="str"><f t="shared" s7"3234"/><v/></c></row><row 64"3206" spans="19:29" x14ac:dyDescent="0.25"><c r64"320="S3102" t="str"><f t="shared" s71"234"/><v/></c><cT064"3202" t="str"><f t="shared" s7S3234"/><v/></c><c2064C3202" t="str"><f t="shared" s73"234"/><v/></c><c r64"3202" t="str"><f t="shared" s7"3234"/><v/></c><ce0264"320="S3102" t="str"><f t="shared" s70"234"/><v/></c><cef=64"3202" t="str"><f t="shared" s7"3234"/><v/></c></row><row 64"3207" spans="19:29" x14ac:dyDescent="0.25"><c r64"320="S3102" t="str"><f t="shared" s71"234"/><v/></c><cT064"3202" t="str"><f t="shared" s7S3234"/><v/></c><c2064"3202" t="str"><f t="shared" s73"234"/><v/></c><c r64"3202" t="str"><f t="shared" s7"3234"/><v/></c><ce0264"320="S3102" t="str"><f t="shared" s70"234"/><v/></c><cef=64"3202" t="str"><f t="shared" s7"3234"/><v/></c></row><row 64"3208" spans="19:29" x14ac:dyDescent="0.25"><c r64"320="S3102" t="str"><f t="shared" s71"234"/><v/></c><cT064"3202" t="str"><f t="shared" s7S3234"/><v/></c><c2064"3202" t="str"><f t="shared" s73"234"/><v/></c><c r64"3202" t="str"><f t="shared" s7"3234"/><v/></c><ce0264"320="S3102" t="str"><f t="shared" s70"234"/><v/></c><cef=64"3202" t="str"><f t="shared" s7"3234"/><v/></c></row><row 64"3199" spans="19:29" x14ac:dyDescent="0.25"><c r64"319=""3102" t="str"><f t="shared" s71"234"/><v/></c><cT064"3102" t="str"><f t="shared" s7S3234"/><v/></c><c2064"3102" t="str"><f t="shared" s73"234"/><v/></c><c r64"3102" t="str"><f t="shared" s7"3234"/><v/></c><ce0264"319="S3102" t="str"><f t="shared" s70"234"/><v/></c><cef=64"3102" t="str"><f t="shared" s7"3234"/><v/></c></row><row 650" span0="19:2"31x14ac:dyDescen02"0.2"3></c><c20650" s=""3102" t="str"><f t="shared" s71"234"/><v/></c><cT0650" 02" t="str"><f t="shared" s7S3234"/><v/></c><c20650" 02" t="str"><f t="shared" s73"234"/><v/></c><c r650" 02" t="str"><f t="shared" s7"3234"/><v/></c><ce02650" s="3"102" t="str"><f t="shared" ref=6503202713"196" s76">IF(ISBLANK(026503202),"", "10")</f><v/></c><c r=650" 02" t="str"><f t="shared" s7"3234"/><v/></c></row><row 651" spans="19:2S31x14ac:dyDescen02"0.2="></c><c2065S319="S3102" t="str"><f t="shared" ref65132071"3 06" s77">IF(ISBLANK(026513203),"6513203 )</f><v/></c><c r651" 02" t="str"><f t="shared" ref6513T071"3 06" s78">IF(ISBLANK(026513203),"6513203 )</f><v/></c><c20651" 02" t="str"><f t="shared" r2065132071"3 06" s79">IF(ISBLANK(026513203),"6513203 )</f><v/></c><c20651" 02" t="str"><f t="shared" r2065132071"3 06" s80">IF(ISBLANK(026513202),"SHOP_SKU")</f><v234/c></c><c202651" 0="S3102" t="str"><f t="shared" s76"234"/><v/></c><cef=651" 02" t="str"><f t="shared" ref=6513ef=71"3 06" s81">IF(ISBLANK(026513202),"", "New")</f><v/></c></row><row 65S3 spans="19:2S31x14ac:dyDescen02"0.2="></c><c2065S3 s=""3102" t="str"><f t="shared" s7="237"/><v/></c><cT065S3102" t="str"><f t="shared" s783234"/><v/></c><c2065S3102" t="str"><f t="shared" s7="239"/><v/></c><c r65S3102" t="str"><f t="shared" s80"234"/><v/></c><ce0265S3 s="3"102" t="str"><f t="shared" s76"234"/><v/></c><cef=65S3102" t="str"><f t="shared" s8S3234"/><v/></c></row><row 653" spans="19:2S31x14ac:dyDescen02"0.2="></c><c20653" s=""3102" t="str"><f t="shared" s7="237"/><v/></c><cT0653"102" t="str"><f t="shared" s783234"/><v/></c><c20653"102" t="str"><f t="shared" s7="239"/><v/></c><c r653"102" t="str"><f t="shared" s80"234"/><v/></c><ce02653" s="S3102" t="str"><f t="shared" s76"234"/><v/></c><cef=653"102" t="str"><f t="shared" s8S3234"/><v/></c></row><row 65"3204" spans="19:29" x14ac:dyDescent="0.25"><c r65"3 0=""3102" t="str"><f t="shared" s7="237"/><v/></c><cT065"3102" t="str"><f t="shared" s783234"/><v/></c><c2065"3102" t="str"><f t="shared" s7="239"/><v/></c><c r65"3102" t="str"><f t="shared" s80"234"/><v/></c><ce0265B3204" s="3" t="str"><f t="shared" s76"234"/><v/></c><cef=65"3102" t="str"><f t="shared" s8S3234"/><v/></c></row><row 65"3205" spans="19:29" x14ac:dyDescent="0.25"><c r65"3 0=""3102" t="str"><f t="shared" s7="237"/><v/></c><cT065"3102" t="str"><f t="shared" s783234"/><v/></c><c2065"3102" t="str"><f t="shared" s7="239"/><v/></c><c r65"3102" t="str"><f t="shared" s80"234"/><v/></c><ce0265B3205"S3102" t="str"><f t="shared" s76"234"/><v/></c><cef=65"3102" t="str"><f t="shared" s8S3234"/><v/></c></row><row 65"3206" spans="19:29" x14ac:dyDescent="0.25"><c r65"320="S3102" t="str"><f t="shared" s7="237"/><v/></c><cT065C3202" t="str"><f t="shared" s783234"/><v/></c><c2065C3202" t="str"><f t="shared" s7="239"/><v/></c><c r65C3202" t="str"><f t="shared" s80"234"/><v/></c><ce0265"320="S3102" t="str"><f t="shared" s76"234"/><v/></c><cef=65C3202" t="str"><f t="shared" s8S3234"/><v/></c></row><row 65"3207" spans="19:29" x14ac:dyDescent="0.25"><c r65"320="S3102" t="str"><f t="shared" s7="237"/><v/></c><cT065"3202" t="str"><f t="shared" s783234"/><v/></c><c2065"3202" t="str"><f t="shared" s7="239"/><v/></c><c r65"3202" t="str"><f t="shared" s80"234"/><v/></c><ce0265"320="S3102" t="str"><f t="shared" s76"234"/><v/></c><cef=65"3202" t="str"><f t="shared" s8S3234"/><v/></c></row><row 65"3208" spans="19:29" x14ac:dyDescent="0.25"><c r65"320="S3102" t="str"><f t="shared" s7="237"/><v/></c><cT065"3202" t="str"><f t="shared" s783234"/><v/></c><c2065"3202" t="str"><f t="shared" s7="239"/><v/></c><c r65"3202" t="str"><f t="shared" s80"234"/><v/></c><ce0265"320="S3102" t="str"><f t="shared" s76"234"/><v/></c><cef=65"3202" t="str"><f t="shared" s8S3234"/><v/></c></row><row 65"3199" spans="19:29" x14ac:dyDescent="0.25"><c r65"319="S3102" t="str"><f t="shared" s7="237"/><v/></c><cT065"3102" t="str"><f t="shared" s783234"/><v/></c><c2065"3102" t="str"><f t="shared" s7="239"/><v/></c><c r65"3102" t="str"><f t="shared" s80"234"/><v/></c><ce0265"319="S3102" t="str"><f t="shared" s76"234"/><v/></c><cef=65"3102" t="str"><f t="shared" s8S3234"/><v/></c></row><row 660" spans="19:2S31x14ac:dyDescen02"0.2="></c><c20660" s=""3102" t="str"><f t="shared" s7="237"/><v/></c><cT0660" 02" t="str"><f t="shared" s783234"/><v/></c><c20660" 02" t="str"><f t="shared" s7="239"/><v/></c><c r660" 02" t="str"><f t="shared" s80"234"/><v/></c><ce02660" s="3"102" t="str"><f t="shared" s76"234"/><v/></c><cef=660" 02" t="str"><f t="shared" s8S3234"/><v/></c></row><row 661" spans="19:2S31x14ac:dyDescen02"0.2="></c><c2066S319="S3102" t="str"><f t="shared" s7="237"/><v/></c><cT066S3102" t="str"><f t="shared" s783234"/><v/></c><c2066S3102" t="str"><f t="shared" s7="239"/><v/></c><c r66S3102" t="str"><f t="shared" s80"234"/><v/></c><ce0266B3201" s="3" t="str"><f t="shared" s76"234"/><v/></c><cef=66S3102" t="str"><f t="shared" s8S3234"/><v/></c></row><row 66S3 spans="19:2S31x14ac:dyDescen02"0.2="></c><c2066S3 s=""3102" t="str"><f t="shared" s7="237"/><v/></c><cT066S3102" t="str"><f t="shared" s783234"/><v/></c><c2066S3 02" t="str"><f t="shared" s7="239"/><v/></c><c r66S3102" t="str"><f t="shared" s80"234"/><v/></c><ce0266S3 s="3"102" t="str"><f t="shared" s76"234"/><v/></c><cef=66S3102" t="str"><f t="shared" s8S3234"/><v/></c></row><row 663" spans="19:2S31x14ac:dyDescen02"0.2="></c><c20663" s=""3102" t="str"><f t="shared" s7="237"/><v/></c><cT0663"102" t="str"><f t="shared" s783234"/><v/></c><c20663" 02" t="str"><f t="shared" s7="239"/><v/></c><c r663"102" t="str"><f t="shared" s80"234"/><v/></c><ce02663" s="3"102" t="str"><f t="shared" s76"234"/><v/></c><cef=663"102" t="str"><f t="shared" s8S3234"/><v/></c></row><row 66"3204" spans="19:29" x14ac:dyDescent="0.25"><c r66"320=""3102" t="str"><f t="shared" s7="237"/><v/></c><cT066"3102" t="str"><f t="shared" s783234"/><v/></c><c2066"3202" t="str"><f t="shared" s7="239"/><v/></c><c r66"3102" t="str"><f t="shared" s80"234"/><v/></c><ce0266"320="3"102" t="str"><f t="shared" s76"234"/><v/></c><cef=66"3102" t="str"><f t="shared" s8S3234"/><v/></c></row><row 66"3205" spans="19:29" x14ac:dyDescent="0.25"><c r66"320=""3102" t="str"><f t="shared" s7="237"/><v/></c><cT066"3102" t="str"><f t="shared" s783234"/><v/></c><c2066"3202" t="str"><f t="shared" s7="239"/><v/></c><c r66"3102" t="str"><f t="shared" s80"234"/><v/></c><ce0266"320="3"102" t="str"><f t="shared" s76"234"/><v/></c><cef=66"3102" t="str"><f t="shared" s8S3234"/><v/></c></row><row 66"3206" spans="19:29" x14ac:dyDescent="0.25"><c r66"320=""3102" t="str"><f t="shared" s7="237"/><v/></c><cT066C3202" t="str"><f t="shared" s783234"/><v/></c><c2066"3202" t="str"><f t="shared" s7="239"/><v/></c><c r66C3202" t="str"><f t="shared" s80"234"/><v/></c><ce0266"320="3"102" t="str"><f t="shared" s76"234"/><v/></c><cef=66C3202" t="str"><f t="shared" s8S3234"/><v/></c></row><row 66"3207" spans="19:29" x14ac:dyDescent="0.25"><c r66"320=""3102" t="str"><f t="shared" s7="237"/><v/></c><cT066"3202" t="str"><f t="shared" s783234"/><v/></c><c2066"3202" t="str"><f t="shared" s7="239"/><v/></c><c r66"3202" t="str"><f t="shared" s80"234"/><v/></c><ce0266"320="3"102" t="str"><f t="shared" s76"234"/><v/></c><cef=66"3202" t="str"><f t="shared" s8S3234"/><v/></c></row><row 66"3208" spans="19:29" x14ac:dyDescent="0.25"><c r66"320=""3102" t="str"><f t="shared" s7="237"/><v/></c><cT066"3202" t="str"><f t="shared" s783234"/><v/></c><c2066"3202" t="str"><f t="shared" s7="239"/><v/></c><c r66"3202" t="str"><f t="shared" s80"234"/><v/></c><ce0266"320="3"102" t="str"><f t="shared" s76"234"/><v/></c><cef=66"3202" t="str"><f t="shared" s8S3234"/><v/></c></row><row 66"3199" spans="19:29" x14ac:dyDescent="0.25"><c r66"319=""3102" t="str"><f t="shared" s7="237"/><v/></c><cT066"3102" t="str"><f t="shared" s783234"/><v/></c><c2066"3102" t="str"><f t="shared" s7="239"/><v/></c><c r66"3102" t="str"><f t="shared" s80"234"/><v/></c><ce0266"319="3"102" t="str"><f t="shared" s76"234"/><v/></c><cef=66"3102" t="str"><f t="shared" s8S3234"/><v/></c></row><row 670" span0="19:2"31x14ac:dyDescen02"0.2"3></c><c20670" s=""3102" t="str"><f t="shared" s7="237"/><v/></c><cT0670" 02" t="str"><f t="shared" s783234"/><v/></c><c20670" 02" t="str"><f t="shared" s7="239"/><v/></c><c r670" 02" t="str"><f t="shared" s80"234"/><v/></c><ce02670" s="3"102" t="str"><f t="shared" s76"234"/><v/></c><cef=670" 02" t="str"><f t="shared" s8S3234"/><v/></c></row><row 671" span0="19:2"31x14ac:dyDescen02"0.2"3></c><c2067S319="S3102" t="str"><f t="shared" s7="237"/><v/></c><cT0671" 02" t="str"><f t="shared" s783234"/><v/></c><c2067S3102" t="str"><f t="shared" s7="239"/><v/></c><c r671" 02" t="str"><f t="shared" s80"234"/><v/></c><ce0267B3201" s="3" t="str"><f t="shared" s76"234"/><v/></c><cef=671" 02" t="str"><f t="shared" s8S3234"/><v/></c></row><row 67S3 spans="19:2S31x14ac:dyDescen02"0.2="></c><c2067S3 0=""3102" t="str"><f t="shared" s7="237"/><v/></c><cT067S3 02" t="str"><f t="shared" s783234"/><v/></c><c2067S3 02" t="str"><f t="shared" s7="239"/><v/></c><c r67S3 02" t="str"><f t="shared" s80"234"/><v/></c><ce0267B3192" s="3" t="str"><f t="shared" s76"234"/><v/></c><cef=67S3 02" t="str"><f t="shared" s8S3234"/><v/></c></row><row 673" spans="19:2S31x14ac:dyDescen02"0.2="></c><c20673" s=""3102" t="str"><f t="shared" s7="237"/><v/></c><cT0673"102" t="str"><f t="shared" s783234"/><v/></c><c20673" 02" t="str"><f t="shared" s7="239"/><v/></c><c r673" 02" t="str"><f t="shared" s80"234"/><v/></c><ce02673" s="3"102" t="str"><f t="shared" s76"234"/><v/></c><cef=673"102" t="str"><f t="shared" s8S3234"/><v/></c></row><row 67"3204" spans="19:29" x14ac:dyDescent="0.25"><c r67"320=""3102" t="str"><f t="shared" s7="237"/><v/></c><cT067"3102" t="str"><f t="shared" s783234"/><v/></c><c2067"3202" t="str"><f t="shared" s7="239"/><v/></c><c r67"3102" t="str"><f t="shared" s80"234"/><v/></c><ce0267"320="3"102" t="str"><f t="shared" s76"234"/><v/></c><cef=67"3102" t="str"><f t="shared" s8S3234"/><v/></c></row><row 67"3205" spans="19:29" x14ac:dyDescent="0.25"><c r67"320=""3102" t="str"><f t="shared" s7="237"/><v/></c><cT067"3102" t="str"><f t="shared" s783234"/><v/></c><c2067"3202" t="str"><f t="shared" s7="239"/><v/></c><c r67"3102" t="str"><f t="shared" s80"234"/><v/></c><ce0267"320="3"102" t="str"><f t="shared" s76"234"/><v/></c><cef=67"3102" t="str"><f t="shared" s8S3234"/><v/></c></row><row 67"3206" spans="19:29" x14ac:dyDescent="0.25"><c r67"320=""3102" t="str"><f t="shared" s7="237"/><v/></c><cT067C3202" t="str"><f t="shared" s783234"/><v/></c><c2067"3202" t="str"><f t="shared" s7="239"/><v/></c><c r67C3202" t="str"><f t="shared" s80"234"/><v/></c><ce0267"320="3"102" t="str"><f t="shared" s76"234"/><v/></c><cef=67C3202" t="str"><f t="shared" s8S3234"/><v/></c></row><row 67"3207" spans="19:29" x14ac:dyDescent="0.25"><c r67"320=""3102" t="str"><f t="shared" s7="237"/><v/></c><cT067"3202" t="str"><f t="shared" s783234"/><v/></c><c2067"3202" t="str"><f t="shared" s7="239"/><v/></c><c r67"3202" t="str"><f t="shared" s80"234"/><v/></c><ce0267"320="3"102" t="str"><f t="shared" s76"234"/><v/></c><cef=67"3202" t="str"><f t="shared" s8S3234"/><v/></c></row><row 67"3208" spans="19:29" x14ac:dyDescent="0.25"><c r67"320=""3102" t="str"><f t="shared" s7="237"/><v/></c><cT067"3202" t="str"><f t="shared" s783234"/><v/></c><c2067"3202" t="str"><f t="shared" s7="239"/><v/></c><c r67"3202" t="str"><f t="shared" s80"234"/><v/></c><ce0267"320="3"102" t="str"><f t="shared" s76"234"/><v/></c><cef=67"3202" t="str"><f t="shared" s8S3234"/><v/></c></row><row 67"3199" spans="19:29" x14ac:dyDescent="0.25"><c r67"319=""3102" t="str"><f t="shared" s7="237"/><v/></c><cT067"3102" t="str"><f t="shared" s783234"/><v/></c><c2067"3102" t="str"><f t="shared" s7="239"/><v/></c><c r67"3102" t="str"><f t="shared" s80"234"/><v/></c><ce0267"319="3"102" t="str"><f t="shared" s76"234"/><v/></c><cef=67"3102" t="str"><f t="shared" s8S3234"/><v/></c></row><row 680" span0="19:2"31x14ac:dyDescen02"0.2"3></c><c20680" s=""3102" t="str"><f t="shared" s7="237"/><v/></c><cT0680" 02" t="str"><f t="shared" s783234"/><v/></c><c20680" 02" t="str"><f t="shared" s7="239"/><v/></c><c r680" 02" t="str"><f t="shared" s80"234"/><v/></c><ce02680" s="3"102" t="str"><f t="shared" s76"234"/><v/></c><cef=680" 02" t="str"><f t="shared" s8S3234"/><v/></c></row><row 68S3 span0="19:2"31x14ac:dyDescen02"0.2"3></c><c2068S319="S3102" t="str"><f t="shared" s7="237"/><v/></c><cT068S3 02" t="str"><f t="shared" s783234"/><v/></c><c2068S3102" t="str"><f t="shared" s7="239"/><v/></c><c r68S3 02" t="str"><f t="shared" s80"234"/><v/></c><ce0268B3201" s="3" t="str"><f t="shared" s76"234"/><v/></c><cef=68S3 02" t="str"><f t="shared" s8S3234"/><v/></c></row><row 68S3 spans="19:2S31x14ac:dyDescen02"0.2="></c><c2068S3 0=""3102" t="str"><f t="shared" s7="237"/><v/></c><cT068S3 02" t="str"><f t="shared" s783234"/><v/></c><c2068S3 02" t="str"><f t="shared" s7="239"/><v/></c><c r68S3 02" t="str"><f t="shared" s80"234"/><v/></c><ce0268B3192" s="3" t="str"><f t="shared" s76"234"/><v/></c><cef=68S3 02" t="str"><f t="shared" s8S3234"/><v/></c></row><row 683" spans="19:2S31x14ac:dyDescen02"0.2="></c><c20683" s=""3102" t="str"><f t="shared" s7="237"/><v/></c><cT0683" 02" t="str"><f t="shared" s783234"/><v/></c><c20683" 02" t="str"><f t="shared" s7="239"/><v/></c><c r683" 02" t="str"><f t="shared" s80"234"/><v/></c><ce02683" s="3"102" t="str"><f t="shared" s76"234"/><v/></c><cef=683" 02" t="str"><f t="shared" s8S3234"/><v/></c></row><row 68"3204" spans="19:29" x14ac:dyDescent="0.25"><c r68B3204""3102" t="str"><f t="shared" s7="237"/><v/></c><cT068B3202" t="str"><f t="shared" s783234"/><v/></c><c2068"3202" t="str"><f t="shared" s7="239"/><v/></c><c r68B3202" t="str"><f t="shared" s80"234"/><v/></c><ce0268B3204" s="3" t="str"><f t="shared" s76"234"/><v/></c><cef=68B3202" t="str"><f t="shared" s8S3234"/><v/></c></row><row 68"3205" spans="19:29" x14ac:dyDescent="0.25"><c r68B3205""3102" t="str"><f t="shared" s7="237"/><v/></c><cT068"3102" t="str"><f t="shared" s783234"/><v/></c><c2068B3202" t="str"><f t="shared" s7="239"/><v/></c><c r68B3202" t="str"><f t="shared" s80"234"/><v/></c><ce0268B3205"S3102" t="str"><f t="shared" s76"234"/><v/></c><cef=68B3202" t="str"><f t="shared" s8S3234"/><v/></c></row><row 68"3206" spans="19:29" x14ac:dyDescent="0.25"><c r68"320=""3102" t="str"><f t="shared" s7="237"/><v/></c><cT068C3202" t="str"><f t="shared" s783234"/><v/></c><c2068"3202" t="str"><f t="shared" s7="239"/><v/></c><c r68C3202" t="str"><f t="shared" s80"234"/><v/></c><ce0268"320="3"102" t="str"><f t="shared" s76"234"/><v/></c><cef=68C3202" t="str"><f t="shared" s8S3234"/><v/></c></row><row 68"3207" spans="19:29" x14ac:dyDescent="0.25"><c r68"320=""3102" t="str"><f t="shared" s7="237"/><v/></c><cT068"3202" t="str"><f t="shared" s783234"/><v/></c><c2068"3202" t="str"><f t="shared" s7="239"/><v/></c><c r68"3202" t="str"><f t="shared" s80"234"/><v/></c><ce0268"320="3"102" t="str"><f t="shared" s76"234"/><v/></c><cef=68"3202" t="str"><f t="shared" s8S3234"/><v/></c></row><row 68"3208" spans="19:29" x14ac:dyDescent="0.25"><c r68"320=""3102" t="str"><f t="shared" s7="237"/><v/></c><cT068"3202" t="str"><f t="shared" s783234"/><v/></c><c2068"3202" t="str"><f t="shared" s7="239"/><v/></c><c r68"3202" t="str"><f t="shared" s80"234"/><v/></c><ce0268"320="3"102" t="str"><f t="shared" s76"234"/><v/></c><cef=68"3202" t="str"><f t="shared" s8S3234"/><v/></c></row><row 68"3199" spans="19:29" x14ac:dyDescent="0.25"><c r68"319=""3102" t="str"><f t="shared" s7="237"/><v/></c><cT068"3102" t="str"><f t="shared" s783234"/><v/></c><c2068"3102" t="str"><f t="shared" s7="239"/><v/></c><c r68"3102" t="str"><f t="shared" s80"234"/><v/></c><ce0268"319="3"102" t="str"><f t="shared" s76"234"/><v/></c><cef=68"3102" t="str"><f t="shared" s8S3234"/><v/></c></row><row 690" span0="19:2"31x14ac:dyDescen02"0.2"3></c><c20690" s=""3102" t="str"><f t="shared" s7="237"/><v/></c><cT0690" 02" t="str"><f t="shared" s783234"/><v/></c><c20690" 02" t="str"><f t="shared" s7="239"/><v/></c><c r690" 02" t="str"><f t="shared" s80"234"/><v/></c><ce02690" s="3"102" t="str"><f t="shared" s76"234"/><v/></c><cef=690" 02" t="str"><f t="shared" s8S3234"/><v/></c></row><row 69S3 span0="19:2"31x14ac:dyDescen02"0.2"3></c><c2069S3 s=""3102" t="str"><f t="shared" s7="237"/><v/></c><cT069S3 02" t="str"><f t="shared" s783234"/><v/></c><c2069S3 02" t="str"><f t="shared" s7="239"/><v/></c><c r69S3 02" t="str"><f t="shared" s80"234"/><v/></c><ce0269B3201" s="3" t="str"><f t="shared" s76"234"/><v/></c><cef=69S3 02" t="str"><f t="shared" s8S3234"/><v/></c></row><row 69S3 spans="19:2S31x14ac:dyDescen02"0.2="></c><c2069S3 0=""3102" t="str"><f t="shared" s7="237"/><v/></c><cT069S3 02" t="str"><f t="shared" s783234"/><v/></c><c2069S3 02" t="str"><f t="shared" s7="239"/><v/></c><c r69S3 02" t="str"><f t="shared" s80"234"/><v/></c><ce0269B3192" s="3" t="str"><f t="shared" s76"234"/><v/></c><cef=69S3 02" t="str"><f t="shared" s8S3234"/><v/></c></row><row 693" spans="19:2S31x14ac:dyDescen02"0.2="></c><c20693" s=""3102" t="str"><f t="shared" s7="237"/><v/></c><cT0693" 02" t="str"><f t="shared" s783234"/><v/></c><c20693" 02" t="str"><f t="shared" s7="239"/><v/></c><c r693" 02" t="str"><f t="shared" s80"234"/><v/></c><ce02693" s="3"102" t="str"><f t="shared" s76"234"/><v/></c><cef=693" 02" t="str"><f t="shared" s8S3234"/><v/></c></row><row 69"3204" spans="19:29" x14ac:dyDescent="0.25"><c r69B3204""3102" t="str"><f t="shared" s7="237"/><v/></c><cT069B3202" t="str"><f t="shared" s783234"/><v/></c><c2069"3202" t="str"><f t="shared" s7="239"/><v/></c><c r69B3202" t="str"><f t="shared" s80"234"/><v/></c><ce0269B3204" s="3" t="str"><f t="shared" s76"234"/><v/></c><cef=69B3202" t="str"><f t="shared" s8S3234"/><v/></c></row><row 69"3205" spans="19:29" x14ac:dyDescent="0.25"><c r69B3205""3102" t="str"><f t="shared" s7="237"/><v/></c><cT069B3202" t="str"><f t="shared" s783234"/><v/></c><c2069B3202" t="str"><f t="shared" s7="239"/><v/></c><c r69B3202" t="str"><f t="shared" s80"234"/><v/></c><ce0269B3205"S3102" t="str"><f t="shared" s76"234"/><v/></c><cef=69B3202" t="str"><f t="shared" s8S3234"/><v/></c></row><row 69"3206" spans="19:29" x14ac:dyDescent="0.25"><c r69"320=""3102" t="str"><f t="shared" s7="237"/><v/></c><cT069"3202" t="str"><f t="shared" s783234"/><v/></c><c2069"3202" t="str"><f t="shared" s7="239"/><v/></c><c r69"3202" t="str"><f t="shared" s80"234"/><v/></c><ce0269"320="3"102" t="str"><f t="shared" s76"234"/><v/></c><cef=69C3202" t="str"><f t="shared" s8S3234"/><v/></c></row><row 69"3207" spans="19:29" x14ac:dyDescent="0.25"><c r69"320=""3102" t="str"><f t="shared" s7="237"/><v/></c><cT069"3202" t="str"><f t="shared" s783234"/><v/></c><c2069"3202" t="str"><f t="shared" s7="239"/><v/></c><c r69"3202" t="str"><f t="shared" s80"234"/><v/></c><ce0269"320="3"102" t="str"><f t="shared" s76"234"/><v/></c><cef=69"3202" t="str"><f t="shared" s8S3234"/><v/></c></row><row 69"3208" spans="19:29" x14ac:dyDescent="0.25"><c r69"320=""3102" t="str"><f t="shared" s7="237"/><v/></c><cT069"3202" t="str"><f t="shared" s783234"/><v/></c><c2069"3202" t="str"><f t="shared" s7="239"/><v/></c><c r69"3202" t="str"><f t="shared" s80"234"/><v/></c><ce0269"320="3"102" t="str"><f t="shared" s76"234"/><v/></c><cef=69"3202" t="str"><f t="shared" s8S3234"/><v/></c></row><row 69"3199" spans="19:29" x14ac:dyDescent="0.25"><c r69"319=""3102" t="str"><f t="shared" s7="237"/><v/></c><cT069"3102" t="str"><f t="shared" s783234"/><v/></c><c2069"3102" t="str"><f t="shared" s7="239"/><v/></c><c r69"3102" t="str"><f t="shared" s80"234"/><v/></c><ce0269"319="3"102" t="str"><f t="shared" s76"234"/><v/></c><cef=69"3102" t="str"><f t="shared" s8S3234"/><v/></c></row><row 700" span0="19:2"31x14ac:dyDescen02"0.2"3></c><c20700" s=""3102" t="str"><f t="shared" s7="237"/><v/></c><cT0700" 02" t="str"><f t="shared" s783234"/><v/></c><c20700" 02" t="str"><f t="shared" s7="239"/><v/></c><c r700" 02" t="str"><f t="shared" s80"234"/><v/></c><ce02700" s="3"102" t="str"><f t="shared" s76"234"/><v/></c><cef=700" 02" t="str"><f t="shared" s8S3234"/><v/></c></row><row 70S3 span0="19:2"31x14ac:dyDescen02"0.2"3></c><c2070S3 s=""3102" t="str"><f t="shared" s7="237"/><v/></c><cT070S3 02" t="str"><f t="shared" s783234"/><v/></c><c2070S3 02" t="str"><f t="shared" s7="239"/><v/></c><c r70S3 02" t="str"><f t="shared" s80"234"/><v/></c><ce0270B3201" s="3" t="str"><f t="shared" s76"234"/><v/></c><cef=70S3 02" t="str"><f t="shared" s8S3234"/><v/></c></row><row 70S3 spans="19:2S31x14ac:dyDescen02"0.2="></c><c2070S3 0=""3102" t="str"><f t="shared" s7="237"/><v/></c><cT070S3 02" t="str"><f t="shared" s783234"/><v/></c><c2070S3 02" t="str"><f t="shared" s7="239"/><v/></c><c r70S3 02" t="str"><f t="shared" s80"234"/><v/></c><ce0270B3192" s="3" t="str"><f t="shared" s76"234"/><v/></c><cef=70S3 02" t="str"><f t="shared" s8S3234"/><v/></c></row><row 703" spans="19:2S31x14ac:dyDescen02"0.2="></c><c20703" s=""3102" t="str"><f t="shared" s7="237"/><v/></c><cT0703" 02" t="str"><f t="shared" s783234"/><v/></c><c20703" 02" t="str"><f t="shared" s7="239"/><v/></c><c r703" 02" t="str"><f t="shared" s80"234"/><v/></c><ce02703" s="3"102" t="str"><f t="shared" s76"234"/><v/></c><cef=703" 02" t="str"><f t="shared" s8S3234"/><v/></c></row><row 70"3204" spans="19:29" x14ac:dyDescent="0.25"><c r70B3204""3102" t="str"><f t="shared" s7="237"/><v/></c><cT070B3202" t="str"><f t="shared" s783234"/><v/></c><c2070"3202" t="str"><f t="shared" s7="239"/><v/></c><c r70B3202" t="str"><f t="shared" s80"234"/><v/></c><ce0270B3204" s="3" t="str"><f t="shared" s76"234"/><v/></c><cef=70B3202" t="str"><f t="shared" s8S3234"/><v/></c></row><row 70"3205" spans="19:29" x14ac:dyDescent="0.25"><c r70B3205""3102" t="str"><f t="shared" s7="237"/><v/></c><cT070B3202" t="str"><f t="shared" s783234"/><v/></c><c2070B3202" t="str"><f t="shared" s7="239"/><v/></c><c r70B3202" t="str"><f t="shared" s80"234"/><v/></c><ce0270B3205"S3102" t="str"><f t="shared" s76"234"/><v/></c><cef=70B3202" t="str"><f t="shared" s8S3234"/><v/></c></row><row 70"3206" spans="19:29" x14ac:dyDescent="0.25"><c r70"320=""3102" t="str"><f t="shared" s7="237"/><v/></c><cT070"3202" t="str"><f t="shared" s783234"/><v/></c><c2070"3202" t="str"><f t="shared" s7="239"/><v/></c><c r70"3202" t="str"><f t="shared" s80"234"/><v/></c><ce0270"320="3"102" t="str"><f t="shared" s76"234"/><v/></c><cef=70"3202" t="str"><f t="shared" s8S3234"/><v/></c></row><row 70"3207" spans="19:29" x14ac:dyDescent="0.25"><c r70"320=""3102" t="str"><f t="shared" s7="237"/><v/></c><cT070"3202" t="str"><f t="shared" s783234"/><v/></c><c2070"3202" t="str"><f t="shared" s7="239"/><v/></c><c r70"3202" t="str"><f t="shared" s80"234"/><v/></c><ce0270"320="3"102" t="str"><f t="shared" s76"234"/><v/></c><cef=70"3202" t="str"><f t="shared" s8S3234"/><v/></c></row><row 70"3208" spans="19:29" x14ac:dyDescent="0.25"><c r70"320=""3102" t="str"><f t="shared" s7="237"/><v/></c><cT070"3202" t="str"><f t="shared" s783234"/><v/></c><c2070"3202" t="str"><f t="shared" s7="239"/><v/></c><c r70"3202" t="str"><f t="shared" s80"234"/><v/></c><ce0270"320="3"102" t="str"><f t="shared" s76"234"/><v/></c><cef=70"3202" t="str"><f t="shared" s8S3234"/><v/></c></row><row 70"3199" spans="19:29" x14ac:dyDescent="0.25"><c r70"319=""3102" t="str"><f t="shared" s7="237"/><v/></c><cT070"3102" t="str"><f t="shared" s783234"/><v/></c><c2070"3102" t="str"><f t="shared" s7="239"/><v/></c><c r70"3102" t="str"><f t="shared" s80"234"/><v/></c><ce0270"319="3"102" t="str"><f t="shared" s76"234"/><v/></c><cef=70"3102" t="str"><f t="shared" s8S3234"/><v/></c></row><row 710" span0="19:2"31x14ac:dyDescen02"0.2"3></c><c20710" s=""3102" t="str"><f t="shared" s7="237"/><v/></c><cT0710" 02" t="str"><f t="shared" s783234"/><v/></c><c20710" 02" t="str"><f t="shared" s7="239"/><v/></c><c r710" 02" t="str"><f t="shared" s80"234"/><v/></c><ce02710" s="3"102" t="str"><f t="shared" s76"234"/><v/></c><cef=710" 02" t="str"><f t="shared" s8S3234"/><v/></c></row><row 71S3 span0="19:2"31x14ac:dyDescen02"0.2"3></c><c2071S3 s=""3102" t="str"><f t="shared" s7="237"/><v/></c><cT071S3 02" t="str"><f t="shared" s783234"/><v/></c><c2071S3 02" t="str"><f t="shared" s7="239"/><v/></c><c r71S3 02" t="str"><f t="shared" s80"234"/><v/></c><ce0271B3201" s="3" t="str"><f t="shared" s76"234"/><v/></c><cef=71S3 02" t="str"><f t="shared" s8S3234"/><v/></c></row><row 71S3 spans="19:2S31x14ac:dyDescen02"0.2="></c><c2071S3 0=""3102" t="str"><f t="shared" s7="237"/><v/></c><cT071S3 02" t="str"><f t="shared" s783234"/><v/></c><c2071S3 02" t="str"><f t="shared" s7="239"/><v/></c><c r71S3 02" t="str"><f t="shared" s80"234"/><v/></c><ce0271B3192" s="3" t="str"><f t="shared" s76"234"/><v/></c><cef=71S3 02" t="str"><f t="shared" s8S3234"/><v/></c></row><row 713" spans="19:2S31x14ac:dyDescen02"0.2="></c><c20713"19=""3102" t="str"><f t="shared" s7="237"/><v/></c><cT0713"102" t="str"><f t="shared" s783234"/><v/></c><c20713"102" t="str"><f t="shared" s7="239"/><v/></c><c r713"102" t="str"><f t="shared" s80"234"/><v/></c><ce02713" s="3"102" t="str"><f t="shared" s76"234"/><v/></c><cef=713"102" t="str"><f t="shared" s8S3234"/><v/></c></row><row 71"3 0pan0="19:2"31x14ac:dyDescen02"0.2"3></c><c2071"3 0=""3102" t="str"><f t="shared" s7="237"/><v/></c><cT071B3202" t="str"><f t="shared" s783234"/><v/></c><c2071"3 02" t="str"><f t="shared" s7="239"/><v/></c><c r71"3102" t="str"><f t="shared" s80"234"/><v/></c><ce0271"3 0="3"102" t="str"><f t="shared" ref=71"320277"3206" s8S3>IF(ISBLANK(0271"3202),"", "10")</f><v/></c><c r=71"3 02" t="str"><f t="shared" s8S3234"/><v/></c></row><row 71"3205" spans="19:29" x14ac:dyDescent="0.25"><c r71B3205""3102" t="str"><f t="shared" ref71532077"3206" s833>IF(ISBLANK(027153203),"7153203 )</f><v/></c><c r715"102" t="str"><f t="shared" ref7153T077"3206" s843>IF(ISBLANK(027153203),"7153203 )</f><v/></c><c20715"102" t="str"><f t="shared" r2071532077"3206" s8"3>IF(ISBLANK(027153203),"7153203 )</f><v/></c><c20715"102" t="str"><f t="shared" r2071532077"3206" s86">IF(ISBLANK(027153203) "SHOP_SKU")</f><v234/c></c><c202715"10="S3102" t="str"><f t="shared" s8S3234"/><v/></c><cef=715"102" t="str"><f t="shared" ref=7153ef=77"3206" s87">IF(ISBLANK(027153203) "", "New")</f><v/></c></row><row 71"3206" spans="19:29" x14ac:dyDescent="0.25"><c r71"320=""3102" t="str"><f t="shared" s83"234"/><v/></c><cT071C3202" t="str"><f t="shared" s8"3234"/><v/></c><c2071C3202" t="str"><f t="shared" s8"3234"/><v/></c><c r71C3202" t="str"><f t="shared" s86"234"/><v/></c><ce0271"320="3"102" t="str"><f t="shared" s8S3234"/><v/></c><cef=71C3202" t="str"><f t="shared" s8="237"/><v/></c></row><row 71"3207" spans="19:29" x14ac:dyDescent="0.25"><c r71"320=""3102" t="str"><f t="shared" s83"234"/><v/></c><cT071"3202" t="str"><f t="shared" s8"3234"/><v/></c><c2071"3202" t="str"><f t="shared" s8"3234"/><v/></c><c r71"3202" t="str"><f t="shared" s86"234"/><v/></c><ce0271"320="3"102" t="str"><f t="shared" s8S3234"/><v/></c><cef=71"3202" t="str"><f t="shared" s8="237"/><v/></c></row><row 71"3208" spans="19:29" x14ac:dyDescent="0.25"><c r71"320=""3102" t="str"><f t="shared" s83"234"/><v/></c><cT071"3202" t="str"><f t="shared" s8"3234"/><v/></c><c2071"3202" t="str"><f t="shared" s8"3234"/><v/></c><c r71"3202" t="str"><f t="shared" s86"234"/><v/></c><ce0271"320="3"102" t="str"><f t="shared" s8S3234"/><v/></c><cef=71"3202" t="str"><f t="shared" s8="237"/><v/></c></row><row 71"3199" spans="19:29" x14ac:dyDescent="0.25"><c r71"319=""3102" t="str"><f t="shared" s83"234"/><v/></c><cT071"3102" t="str"><f t="shared" s8"3234"/><v/></c><c2071"3102" t="str"><f t="shared" s8"3234"/><v/></c><c r71"3102" t="str"><f t="shared" s86"234"/><v/></c><ce0271"319="3"102" t="str"><f t="shared" s8S3234"/><v/></c><cef=71"3102" t="str"><f t="shared" s8="237"/><v/></c></row><row 720" span0="19:2"31x14ac:dyDescen02"0.2"3></c><c20720" s=""3102" t="str"><f t="shared" s83"234"/><v/></c><cT0720" 02" t="str"><f t="shared" s8"3234"/><v/></c><c20720" 02" t="str"><f t="shared" s8"3234"/><v/></c><c r720" 02" t="str"><f t="shared" s86"234"/><v/></c><ce02720" s="3"102" t="str"><f t="shared" s8S3234"/><v/></c><cef=720" 02" t="str"><f t="shared" s8="237"/><v/></c></row><row 72S3 span0="19:2"31x14ac:dyDescen02"0.2"3></c><c2072S319="S3102" t="str"><f t="shared" s83"234"/><v/></c><cT072S3102" t="str"><f t="shared" s8"3234"/><v/></c><c2072S3102" t="str"><f t="shared" s8"3234"/><v/></c><c r72S3102" t="str"><f t="shared" s86"234"/><v/></c><ce0272B3201" s="3" t="str"><f t="shared" s8S3234"/><v/></c><cef=72S3102" t="str"><f t="shared" s8="237"/><v/></c></row><row 72S3 spans="19:2S31x14ac:dyDescen02"0.2="></c><c2072S3 0=""3102" t="str"><f t="shared" s83"234"/><v/></c><cT072S3 02" t="str"><f t="shared" s8B3234"/><v/></c><c2072S3 02" t="str"><f t="shared" s8"3234"/><v/></c><c r72S3 02" t="str"><f t="shared" s86"234"/><v/></c><ce0272B3192" s="3" t="str"><f t="shared" s8S3234"/><v/></c><cef=72S3 02" t="str"><f t="shared" s8="237"/><v/></c></row><row 723" spans="19:2S31x14ac:dyDescen02"0.2="></c><c20723" s=""3102" t="str"><f t="shared" s83"234"/><v/></c><cT0723" 02" t="str"><f t="shared" s8"3234"/><v/></c><c20723" 02" t="str"><f t="shared" s8"3234"/><v/></c><c r723" 02" t="str"><f t="shared" s86"234"/><v/></c><ce02723" s="3"102" t="str"><f t="shared" s8S3234"/><v/></c><cef=723" 02" t="str"><f t="shared" s8="237"/><v/></c></row><row 72"3204" spans="19:29" x14ac:dyDescent="0.25"><c r72B3204""3102" t="str"><f t="shared" s83"234"/><v/></c><cT072"3102" t="str"><f t="shared" s8B3234"/><v/></c><c2072"3102" t="str"><f t="shared" s8"3234"/><v/></c><c r72"3102" t="str"><f t="shared" s86"234"/><v/></c><ce0272B3204" s="3" t="str"><f t="shared" s8S3234"/><v/></c><cef=72"3102" t="str"><f t="shared" s8="237"/><v/></c></row><row 72"3205" spans="19:29" x14ac:dyDescent="0.25"><c r72"319=""3102" t="str"><f t="shared" s83"234"/><v/></c><cT072"3102" t="str"><f t="shared" s8"3234"/><v/></c><c2072"3102" t="str"><f t="shared" s8"3234"/><v/></c><c r72"3102" t="str"><f t="shared" s86"234"/><v/></c><ce0272B3205"S3102" t="str"><f t="shared" s8S3234"/><v/></c><cef=72"3102" t="str"><f t="shared" s8="237"/><v/></c></row><row 72"3206" spans="19:29" x14ac:dyDescent="0.25"><c r72"320=""3102" t="str"><f t="shared" s83"234"/><v/></c><cT072C3202" t="str"><f t="shared" s8"3234"/><v/></c><c2072"3202" t="str"><f t="shared" s8"3234"/><v/></c><c r72"3202" t="str"><f t="shared" s86"234"/><v/></c><ce0272"320="3"102" t="str"><f t="shared" s8S3234"/><v/></c><cef=72"3202" t="str"><f t="shared" s8="237"/><v/></c></row><row 72"3207" spans="19:29" x14ac:dyDescent="0.25"><c r72"320=""3102" t="str"><f t="shared" s83"234"/><v/></c><cT072"3202" t="str"><f t="shared" s8"3234"/><v/></c><c2072"3202" t="str"><f t="shared" s8"3234"/><v/></c><c r72"3202" t="str"><f t="shared" s86"234"/><v/></c><ce0272"320="3"102" t="str"><f t="shared" s8S3234"/><v/></c><cef=72"3202" t="str"><f t="shared" s8="237"/><v/></c></row><row 72"3208" spans="19:29" x14ac:dyDescent="0.25"><c r72"320=""3102" t="str"><f t="shared" s83"234"/><v/></c><cT072"3202" t="str"><f t="shared" s8"3234"/><v/></c><c2072"3202" t="str"><f t="shared" s8"3234"/><v/></c><c r72"3202" t="str"><f t="shared" s86"234"/><v/></c><ce0272"320="3"102" t="str"><f t="shared" s8S3234"/><v/></c><cef=72"3202" t="str"><f t="shared" s8="237"/><v/></c></row><row 72"31span0="19:2"31x14ac:dyDescen02"0.2"3></c><c2072"31s=""3102" t="str"><f t="shared" s83"234"/><v/></c><cT072"3102" t="str"><f t="shared" s8"3234"/><v/></c><c2072"3102" t="str"><f t="shared" s8"3234"/><v/></c><c r72"3102" t="str"><f t="shared" s86"234"/><v/></c><ce0272"31s="3"102" t="str"><f t="shared" s8S3234"/><v/></c><cef=72"3102" t="str"><f t="shared" s8="237"/><v/></c></row><row 730" span0="19:2"31x14ac:dyDescen02"0.2"3></c><c20730" s=""3102" t="str"><f t="shared" s83"234"/><v/></c><cT0730" 02" t="str"><f t="shared" s8"3234"/><v/></c><c20730" 02" t="str"><f t="shared" s8"3234"/><v/></c><c r730" 02" t="str"><f t="shared" s86"234"/><v/></c><ce02730" s="3"102" t="str"><f t="shared" s8S3234"/><v/></c><cef=730" 02" t="str"><f t="shared" s8="237"/><v/></c></row><row 73S3 span0="19:2"31x14ac:dyDescen02"0.2"3></c><c2073S3 s=""3102" t="str"><f t="shared" s83"234"/><v/></c><cT073S3102" t="str"><f t="shared" s8"3234"/><v/></c><c2073S3 02" t="str"><f t="shared" s8"3234"/><v/></c><c r73S3 02" t="str"><f t="shared" s86"234"/><v/></c><ce0273B3201" s="3" t="str"><f t="shared" s8S3234"/><v/></c><cef=73S3 02" t="str"><f t="shared" s8="237"/><v/></c></row><row 73S3 spans="19:2S31x14ac:dyDescen02"0.2="></c><c2073S3 0=""3102" t="str"><f t="shared" s83"234"/><v/></c><cT073S3 02" t="str"><f t="shared" s8"3234"/><v/></c><c2073S3 02" t="str"><f t="shared" s8"3234"/><v/></c><c r73S3 02" t="str"><f t="shared" s86"234"/><v/></c><ce0273B3192" s="3" t="str"><f t="shared" s8S3234"/><v/></c><cef=73S3 02" t="str"><f t="shared" s8="237"/><v/></c></row><row 733" spans="19:2S31x14ac:dyDescen02"0.2="></c><c20733" s=""3102" t="str"><f t="shared" s83"234"/><v/></c><cT0733" 02" t="str"><f t="shared" s8"3234"/><v/></c><c20733" 02" t="str"><f t="shared" s8"3234"/><v/></c><c r733" 02" t="str"><f t="shared" s86"234"/><v/></c><ce02733" s="3"102" t="str"><f t="shared" s8S3234"/><v/></c><cef=733" 02" t="str"><f t="shared" s8="237"/><v/></c></row><row 73"3204" spans="19:29" x14ac:dyDescent="0.25"><c r73B3204""3102" t="str"><f t="shared" s83"234"/><v/></c><cT073B3202" t="str"><f t="shared" s8"3234"/><v/></c><c2073"3102" t="str"><f t="shared" s8"3234"/><v/></c><c r73B3202" t="str"><f t="shared" s86"234"/><v/></c><ce0273B3204" s="3" t="str"><f t="shared" s8S3234"/><v/></c><cef=73B3202" t="str"><f t="shared" s8="237"/><v/></c></row><row 73"3205" spans="19:29" x14ac:dyDescent="0.25"><c r73"319=""3102" t="str"><f t="shared" s83"234"/><v/></c><cT073"3102" t="str"><f t="shared" s8"3234"/><v/></c><c2073"3102" t="str"><f t="shared" s8"3234"/><v/></c><c r73"3102" t="str"><f t="shared" s86"234"/><v/></c><ce0273B3205"S3102" t="str"><f t="shared" s8S3234"/><v/></c><cef=73"3102" t="str"><f t="shared" s8="237"/><v/></c></row><row 73"3206" spans="19:29" x14ac:dyDescent="0.25"><c r73"320=""3102" t="str"><f t="shared" s83"234"/><v/></c><cT073"3202" t="str"><f t="shared" s8"3234"/><v/></c><c2073"3202" t="str"><f t="shared" s8"3234"/><v/></c><c r73"3202" t="str"><f t="shared" s86"234"/><v/></c><ce0273"320="3"102" t="str"><f t="shared" s8S3234"/><v/></c><cef=73"3202" t="str"><f t="shared" s8="237"/><v/></c></row><row 73"3207" spans="19:29" x14ac:dyDescent="0.25"><c r73"320=""3102" t="str"><f t="shared" s83"234"/><v/></c><cT073"3202" t="str"><f t="shared" s8"3234"/><v/></c><c2073"3202" t="str"><f t="shared" s8"3234"/><v/></c><c r73"3202" t="str"><f t="shared" s86"234"/><v/></c><ce0273"320="3"102" t="str"><f t="shared" s8S3234"/><v/></c><cef=73"3202" t="str"><f t="shared" s8="237"/><v/></c></row><row 73"3208" spans="19:29" x14ac:dyDescent="0.25"><c r73"320=""3102" t="str"><f t="shared" s83"234"/><v/></c><cT073"3202" t="str"><f t="shared" s8"3234"/><v/></c><c2073"3202" t="str"><f t="shared" s8"3234"/><v/></c><c r73"3202" t="str"><f t="shared" s86"234"/><v/></c><ce0273"320="3"102" t="str"><f t="shared" s8S3234"/><v/></c><cef=73"3202" t="str"><f t="shared" s8="237"/><v/></c></row><row 73"31span0="19:2"31x14ac:dyDescen02"0.2"3></c><c2073"319=""3102" t="str"><f t="shared" s83"234"/><v/></c><cT073"3102" t="str"><f t="shared" s8"3234"/><v/></c><c2073"3102" t="str"><f t="shared" s8"3234"/><v/></c><c r73"3102" t="str"><f t="shared" s86"234"/><v/></c><ce0273"319="3"102" t="str"><f t="shared" s8S3234"/><v/></c><cef=73"3102" t="str"><f t="shared" s8="237"/><v/></c></row><row 740" span0="19:2"31x14ac:dyDescen02"0.2"3></c><c20740" s=""3102" t="str"><f t="shared" s83"234"/><v/></c><cT0740" 02" t="str"><f t="shared" s8"3234"/><v/></c><c20740" 02" t="str"><f t="shared" s8"3234"/><v/></c><c r740" 02" t="str"><f t="shared" s86"234"/><v/></c><ce02740" s="3"102" t="str"><f t="shared" s8S3234"/><v/></c><cef=740" 02" t="str"><f t="shared" s8="237"/><v/></c></row><row 74S3 span0="19:2"31x14ac:dyDescen02"0.2"3></c><c2074S319="S3102" t="str"><f t="shared" s83"234"/><v/></c><cT074S3102" t="str"><f t="shared" s8"3234"/><v/></c><c2074S3 02" t="str"><f t="shared" s8"3234"/><v/></c><c r74S3102" t="str"><f t="shared" s86"234"/><v/></c><ce0274B3201" s="3" t="str"><f t="shared" s8S3234"/><v/></c><cef=74S3102" t="str"><f t="shared" s8="237"/><v/></c></row><row 74S3 spans="19:2S31x14ac:dyDescen02"0.2="></c><c2074S3 0=""3102" t="str"><f t="shared" s83"234"/><v/></c><cT074S3 02" t="str"><f t="shared" s8"3234"/><v/></c><c2074S3 02" t="str"><f t="shared" s8"3234"/><v/></c><c r74S3 02" t="str"><f t="shared" s86"234"/><v/></c><ce0274B3192" s="3" t="str"><f t="shared" s8S3234"/><v/></c><cef=74S3 02" t="str"><f t="shared" s8="237"/><v/></c></row><row 743" spans="19:2S31x14ac:dyDescen02"0.2="></c><c20743" s=""3102" t="str"><f t="shared" s83"234"/><v/></c><cT0743" 02" t="str"><f t="shared" s8"3234"/><v/></c><c20743" 02" t="str"><f t="shared" s8"3234"/><v/></c><c r743" 02" t="str"><f t="shared" s86"234"/><v/></c><ce02743" s="3"102" t="str"><f t="shared" s8S3234"/><v/></c><cef=743" 02" t="str"><f t="shared" s8="237"/><v/></c></row><row 74"3204" spans="19:29" x14ac:dyDescent="0.25"><c r74B3204""3102" t="str"><f t="shared" s83"234"/><v/></c><cT074B3202" t="str"><f t="shared" s8"3234"/><v/></c><c2074"3102" t="str"><f t="shared" s8"3234"/><v/></c><c r74B3202" t="str"><f t="shared" s86"234"/><v/></c><ce0274B3204" s="3" t="str"><f t="shared" s8S3234"/><v/></c><cef=74B3202" t="str"><f t="shared" s8="237"/><v/></c></row><row 74"3205" spans="19:29" x14ac:dyDescent="0.25"><c r74"319=""3102" t="str"><f t="shared" s83"234"/><v/></c><cT074"3102" t="str"><f t="shared" s8"3234"/><v/></c><c2074"3102" t="str"><f t="shared" s8"3234"/><v/></c><c r74"3102" t="str"><f t="shared" s86"234"/><v/></c><ce0274B3205"S3102" t="str"><f t="shared" s8S3234"/><v/></c><cef=74"3102" t="str"><f t="shared" s8="237"/><v/></c></row><row 74"3206" spans="19:29" x14ac:dyDescent="0.25"><c r74"320=""3102" t="str"><f t="shared" s83"234"/><v/></c><cT074"3202" t="str"><f t="shared" s8"3234"/><v/></c><c2074"3202" t="str"><f t="shared" s8"3234"/><v/></c><c r74"3202" t="str"><f t="shared" s86"234"/><v/></c><ce0274"320="3"102" t="str"><f t="shared" s8S3234"/><v/></c><cef=74"3202" t="str"><f t="shared" s8="237"/><v/></c></row><row 74"3207" spans="19:29" x14ac:dyDescent="0.25"><c r74"320=""3102" t="str"><f t="shared" s83"234"/><v/></c><cT074"3202" t="str"><f t="shared" s8"3234"/><v/></c><c2074"3202" t="str"><f t="shared" s8"3234"/><v/></c><c r74"3202" t="str"><f t="shared" s86"234"/><v/></c><ce0274"320="3"102" t="str"><f t="shared" s8S3234"/><v/></c><cef=74"3202" t="str"><f t="shared" s8="237"/><v/></c></row><row 74"3208" spans="19:29" x14ac:dyDescent="0.25"><c r74"320=""3102" t="str"><f t="shared" s83"234"/><v/></c><cT074"3202" t="str"><f t="shared" s8"3234"/><v/></c><c2074"3202" t="str"><f t="shared" s8"3234"/><v/></c><c r74"3202" t="str"><f t="shared" s86"234"/><v/></c><ce0274"320="3"102" t="str"><f t="shared" s8S3234"/><v/></c><cef=74"3202" t="str"><f t="shared" s8="237"/><v/></c></row><row 74"31span0="19:2"31x14ac:dyDescen02"0.2"3></c><c2074"319=""3102" t="str"><f t="shared" s83"234"/><v/></c><cT074"3102" t="str"><f t="shared" s8"3234"/><v/></c><c2074"3102" t="str"><f t="shared" s8"3234"/><v/></c><c r74"3102" t="str"><f t="shared" s86"234"/><v/></c><ce0274"319="3"102" t="str"><f t="shared" s8S3234"/><v/></c><cef=74"3102" t="str"><f t="shared" s8="237"/><v/></c></row><row 750" span0="19:2"31x14ac:dyDescen02"0.2"3></c><c20750" s=""3102" t="str"><f t="shared" s83"234"/><v/></c><cT0750" 02" t="str"><f t="shared" s8"3234"/><v/></c><c20750" 02" t="str"><f t="shared" s8"3234"/><v/></c><c r750" 02" t="str"><f t="shared" s86"234"/><v/></c><ce02750" s="3"102" t="str"><f t="shared" s8S3234"/><v/></c><cef=750" 02" t="str"><f t="shared" s8="237"/><v/></c></row><row 75S3 span0="19:2"31x14ac:dyDescen02"0.2"3></c><c2075S319="S3102" t="str"><f t="shared" s83"234"/><v/></c><cT075S3102" t="str"><f t="shared" s8"3234"/><v/></c><c2075S3 02" t="str"><f t="shared" s8"3234"/><v/></c><c r75S3102" t="str"><f t="shared" s86"234"/><v/></c><ce0275B3201" s="3" t="str"><f t="shared" s8S3234"/><v/></c><cef=75S3102" t="str"><f t="shared" s8="237"/><v/></c></row><row 75S3 spans="19:2S31x14ac:dyDescen02"0.2="></c><c2075S3 0=""3102" t="str"><f t="shared" s83"234"/><v/></c><cT075S3 02" t="str"><f t="shared" s8"3234"/><v/></c><c2075S3 02" t="str"><f t="shared" s8"3234"/><v/></c><c r75S3 02" t="str"><f t="shared" s86"234"/><v/></c><ce0275B3192" s="3" t="str"><f t="shared" s8S3234"/><v/></c><cef=75S3 02" t="str"><f t="shared" s8="237"/><v/></c></row><row 753" spans="19:2S31x14ac:dyDescen02"0.2="></c><c20753" s=""3102" t="str"><f t="shared" s83"234"/><v/></c><cT0753" 02" t="str"><f t="shared" s8"3234"/><v/></c><c20753" 02" t="str"><f t="shared" s8"3234"/><v/></c><c r753" 02" t="str"><f t="shared" s86"234"/><v/></c><ce02753" s="3"102" t="str"><f t="shared" s8S3234"/><v/></c><cef=753" 02" t="str"><f t="shared" s8="237"/><v/></c></row><row 75"3204" spans="19:29" x14ac:dyDescent="0.25"><c r75B3204""3102" t="str"><f t="shared" s83"234"/><v/></c><cT075B3202" t="str"><f t="shared" s8"3234"/><v/></c><c2075"3102" t="str"><f t="shared" s8"3234"/><v/></c><c r75B3202" t="str"><f t="shared" s86"234"/><v/></c><ce0275B3204" s="3" t="str"><f t="shared" s8S3234"/><v/></c><cef=75B3202" t="str"><f t="shared" s8="237"/><v/></c></row><row 75"3205" spans="19:29" x14ac:dyDescent="0.25"><c r75"319=""3102" t="str"><f t="shared" s83"234"/><v/></c><cT075"3102" t="str"><f t="shared" s8"3234"/><v/></c><c2075"3102" t="str"><f t="shared" s8"3234"/><v/></c><c r75"3102" t="str"><f t="shared" s86"234"/><v/></c><ce0275B3205"S3102" t="str"><f t="shared" s8S3234"/><v/></c><cef=75"3102" t="str"><f t="shared" s8="237"/><v/></c></row><row 75"3206" spans="19:29" x14ac:dyDescent="0.25"><c r75"320=""3102" t="str"><f t="shared" s83"234"/><v/></c><cT075"3202" t="str"><f t="shared" s8"3234"/><v/></c><c2075"3202" t="str"><f t="shared" s8"3234"/><v/></c><c r75"3202" t="str"><f t="shared" s86"234"/><v/></c><ce0275"320="3"102" t="str"><f t="shared" s8S3234"/><v/></c><cef=75"3202" t="str"><f t="shared" s8="237"/><v/></c></row><row 75"3207" spans="19:29" x14ac:dyDescent="0.25"><c r75"320=""3102" t="str"><f t="shared" s83"234"/><v/></c><cT075"3202" t="str"><f t="shared" s8"3234"/><v/></c><c2075"3202" t="str"><f t="shared" s8"3234"/><v/></c><c r75"3202" t="str"><f t="shared" s86"234"/><v/></c><ce0275"320="3"102" t="str"><f t="shared" s8S3234"/><v/></c><cef=75"3202" t="str"><f t="shared" s8="237"/><v/></c></row><row 75"3208" spans="19:29" x14ac:dyDescent="0.25"><c r75"320=""3102" t="str"><f t="shared" s83"234"/><v/></c><cT075"3202" t="str"><f t="shared" s8"3234"/><v/></c><c2075"3202" t="str"><f t="shared" s8"3234"/><v/></c><c r75"3202" t="str"><f t="shared" s86"234"/><v/></c><ce0275"320="3"102" t="str"><f t="shared" s8S3234"/><v/></c><cef=75"3202" t="str"><f t="shared" s8="237"/><v/></c></row><row 75"31span0="19:2"31x14ac:dyDescen02"0.2"3></c><c2075"319=""3102" t="str"><f t="shared" s83"234"/><v/></c><cT075"3102" t="str"><f t="shared" s8"3234"/><v/></c><c2075"3102" t="str"><f t="shared" s8"3234"/><v/></c><c r75"3102" t="str"><f t="shared" s86"234"/><v/></c><ce0275"319="3"102" t="str"><f t="shared" s8S3234"/><v/></c><cef=75"3102" t="str"><f t="shared" s8="237"/><v/></c></row><row 760" span0="19:2"31x14ac:dyDescen02"0.2"3></c><c20760" s=""3102" t="str"><f t="shared" s83"234"/><v/></c><cT0760" 02" t="str"><f t="shared" s8"3234"/><v/></c><c20760" 02" t="str"><f t="shared" s8"3234"/><v/></c><c r760" 02" t="str"><f t="shared" s86"234"/><v/></c><ce02760" s="3"102" t="str"><f t="shared" s8S3234"/><v/></c><cef=760" 02" t="str"><f t="shared" s8="237"/><v/></c></row><row 76S3 span0="19:2"31x14ac:dyDescen02"0.2"3></c><c2076S319="S3102" t="str"><f t="shared" s83"234"/><v/></c><cT076S3102" t="str"><f t="shared" s8"3234"/><v/></c><c2076S3 02" t="str"><f t="shared" s8"3234"/><v/></c><c r76S3102" t="str"><f t="shared" s86"234"/><v/></c><ce0276B3201" s="3" t="str"><f t="shared" s8S3234"/><v/></c><cef=76S3102" t="str"><f t="shared" s8="237"/><v/></c></row><row 76S3 spans="19:2S31x14ac:dyDescen02"0.2="></c><c2076S3 0=""3102" t="str"><f t="shared" s83"234"/><v/></c><cT076S3 02" t="str"><f t="shared" s8"3234"/><v/></c><c2076S3 02" t="str"><f t="shared" s8"3234"/><v/></c><c r76S3 02" t="str"><f t="shared" s86"234"/><v/></c><ce0276B3192" s="3" t="str"><f t="shared" s8S3234"/><v/></c><cef=76S3 02" t="str"><f t="shared" s8="237"/><v/></c></row><row 763" spans="19:2S31x14ac:dyDescen02"0.2="></c><c20763" s=""3102" t="str"><f t="shared" s83"234"/><v/></c><cT0763" 02" t="str"><f t="shared" s8"3234"/><v/></c><c20763" 02" t="str"><f t="shared" s8"3234"/><v/></c><c r763" 02" t="str"><f t="shared" s86"234"/><v/></c><ce02763" s="3"102" t="str"><f t="shared" s8S3234"/><v/></c><cef=763" 02" t="str"><f t="shared" s8="237"/><v/></c></row><row 76"3204" spans="19:29" x14ac:dyDescent="0.25"><c r76B3204""3102" t="str"><f t="shared" s83"234"/><v/></c><cT076B3202" t="str"><f t="shared" s8"3234"/><v/></c><c2076"3102" t="str"><f t="shared" s8"3234"/><v/></c><c r76B3202" t="str"><f t="shared" s86"234"/><v/></c><ce0276B3204" s="3" t="str"><f t="shared" s8S3234"/><v/></c><cef=76B3202" t="str"><f t="shared" s8="237"/><v/></c></row><row 76"3205" spans="19:29" x14ac:dyDescent="0.25"><c r76"319=""3102" t="str"><f t="shared" s83"234"/><v/></c><cT076"3102" t="str"><f t="shared" s8"3234"/><v/></c><c2076"3102" t="str"><f t="shared" s8"3234"/><v/></c><c r76"3102" t="str"><f t="shared" s86"234"/><v/></c><ce0276B3205"S3102" t="str"><f t="shared" s8S3234"/><v/></c><cef=76"3102" t="str"><f t="shared" s8="237"/><v/></c></row><row 76"3206" spans="19:29" x14ac:dyDescent="0.25"><c r76"320=""3102" t="str"><f t="shared" s83"234"/><v/></c><cT076"3202" t="str"><f t="shared" s8"3234"/><v/></c><c2076"3202" t="str"><f t="shared" s8"3234"/><v/></c><c r76"3202" t="str"><f t="shared" s86"234"/><v/></c><ce0276"320="3"102" t="str"><f t="shared" s8S3234"/><v/></c><cef=76"3202" t="str"><f t="shared" s8="237"/><v/></c></row><row 76"3207" spans="19:29" x14ac:dyDescent="0.25"><c r76"320=""3102" t="str"><f t="shared" s83"234"/><v/></c><cT076"3202" t="str"><f t="shared" s8"3234"/><v/></c><c2076"3202" t="str"><f t="shared" s8"3234"/><v/></c><c r76"3202" t="str"><f t="shared" s86"234"/><v/></c><ce0276"320="3"102" t="str"><f t="shared" s8S3234"/><v/></c><cef=76"3202" t="str"><f t="shared" s8="237"/><v/></c></row><row 76"3208" spans="19:29" x14ac:dyDescent="0.25"><c r76"320=""3102" t="str"><f t="shared" s83"234"/><v/></c><cT076"3202" t="str"><f t="shared" s8"3234"/><v/></c><c2076"3202" t="str"><f t="shared" s8"3234"/><v/></c><c r76"3202" t="str"><f t="shared" s86"234"/><v/></c><ce0276"320="3"102" t="str"><f t="shared" s8S3234"/><v/></c><cef=76"3202" t="str"><f t="shared" s8="237"/><v/></c></row><row 76"31span0="19:2"31x14ac:dyDescen02"0.2"3></c><c2076"319=""3102" t="str"><f t="shared" s83"234"/><v/></c><cT076"3102" t="str"><f t="shared" s8"3234"/><v/></c><c2076"3102" t="str"><f t="shared" s8"3234"/><v/></c><c r76"3102" t="str"><f t="shared" s86"234"/><v/></c><ce0276"319="3"102" t="str"><f t="shared" s8S3234"/><v/></c><cef=76"3102" t="str"><f t="shared" s8="237"/><v/></c></row><row 770" span0="19:2"31x14ac:dyDescen02"0.2"3></c><c20770" s=""3102" t="str"><f t="shared" s83"234"/><v/></c><cT0770" 02" t="str"><f t="shared" s8"3234"/><v/></c><c20770" 02" t="str"><f t="shared" s8"3234"/><v/></c><c r770" 02" t="str"><f t="shared" s86"234"/><v/></c><ce02770" s="3"102" t="str"><f t="shared" s8S3234"/><v/></c><cef=770" 02" t="str"><f t="shared" s8="237"/><v/></c></row><row 77S3 span0="19:2"31x14ac:dyDescen02"0.2"3></c><c2077S319="S3102" t="str"><f t="shared" s83"234"/><v/></c><cT077S3102" t="str"><f t="shared" s8"3234"/><v/></c><c2077S3 02" t="str"><f t="shared" s8"3234"/><v/></c><c r77S3102" t="str"><f t="shared" s86"234"/><v/></c><ce0277B3201" s="3" t="str"><f t="shared" s8S3234"/><v/></c><cef=77S3102" t="str"><f t="shared" s8="237"/><v/></c></row><row 77S3 spans="19:2S31x14ac:dyDescen02"0.2="></c><c2077S3 0=""3102" t="str"><f t="shared" s83"234"/><v/></c><cT077S3 02" t="str"><f t="shared" s8"3234"/><v/></c><c2077S3 02" t="str"><f t="shared" s8"3234"/><v/></c><c r77S3 02" t="str"><f t="shared" s86"234"/><v/></c><ce0277B3192" s="3" t="str"><f t="shared" s8S3234"/><v/></c><cef=77S3 02" t="str"><f t="shared" s8="237"/><v/></c></row><row 773" spans="19:2S31x14ac:dyDescen02"0.2="></c><c20773" s=""3102" t="str"><f t="shared" s83"234"/><v/></c><cT0773" 02" t="str"><f t="shared" s8"3234"/><v/></c><c20773" 02" t="str"><f t="shared" s8"3234"/><v/></c><c r773" 02" t="str"><f t="shared" s86"234"/><v/></c><ce02773" s="3"102" t="str"><f t="shared" s8S3234"/><v/></c><cef=773" 02" t="str"><f t="shared" s8="237"/><v/></c></row><row 77"3204" spans="19:29" x14ac:dyDescent="0.25"><c r77B3204""3102" t="str"><f t="shared" s83"234"/><v/></c><cT077B3202" t="str"><f t="shared" s8"3234"/><v/></c><c2077"3102" t="str"><f t="shared" s8"3234"/><v/></c><c r77B3202" t="str"><f t="shared" s86"234"/><v/></c><ce0277B3204" s="3" t="str"><f t="shared" s8S3234"/><v/></c><cef=77B3202" t="str"><f t="shared" s8="237"/><v/></c></row><row 77"3205" spans="19:29" x14ac:dyDescent="0.25"><c r77"319=""3102" t="str"><f t="shared" s83"234"/><v/></c><cT077"3102" t="str"><f t="shared" s8"3234"/><v/></c><c2077"3102" t="str"><f t="shared" s8"3234"/><v/></c><c r77"3102" t="str"><f t="shared" s86"234"/><v/></c><ce0277B3205"S3102" t="str"><f t="shared" s8S3234"/><v/></c><cef=77"3102" t="str"><f t="shared" s8="237"/><v/></c></row><row 77"3206" spans="19:29" x14ac:dyDescent="0.25"><c r77"320=""3102" t="str"><f t="shared" s83"234"/><v/></c><cT077"3202" t="str"><f t="shared" s8"3234"/><v/></c><c2077"3202" t="str"><f t="shared" s8"3234"/><v/></c><c r77"3202" t="str"><f t="shared" s86"234"/><v/></c><ce0277"320="3"102" t="str"><f t="shared" s8S3234"/><v/></c><cef=77"3202" t="str"><f t="shared" s8="237"/><v/></c></row><row 77"3207" spans="19:29" x14ac:dyDescent="0.25"><c r77"320=""3102" t="str"><f t="shared" s83"234"/><v/></c><cT077"3202" t="str"><f t="shared" s8"3234"/><v/></c><c2077"3202" t="str"><f t="shared" s8"3234"/><v/></c><c r77"3202" t="str"><f t="shared" s86"234"/><v/></c><ce0277"320="3"102" t="str"><f t="shared" s8S3234"/><v/></c><cef=77"3202" t="str"><f t="shared" s8="237"/><v/></c></row><row 77"3208" spans="19:29" x14ac:dyDescent="0.25"><c r77"320=""3102" t="str"><f t="shared" s83"234"/><v/></c><cT077"3202" t="str"><f t="shared" s8"3234"/><v/></c><c2077"3202" t="str"><f t="shared" s8"3234"/><v/></c><c r77"3202" t="str"><f t="shared" s86"234"/><v/></c><ce0277"320="3"102" t="str"><f t="shared" ref=778320284S3196" s883>IF(ISBLANK(027783202),"", "10")</f><v/></c><c r=77"3202" t="str"><f t="shared" s8="237"/><v/></c></row><row 77"31span0="19:2"31x14ac:dyDescen02"0.2"3></c><c2077"319=""3102" t="str"><f t="shared" ref77932084S3 06" s893>IF(ISBLANK(027793203),"7793203 )</f><v/></c><c r77"3102" t="str"><f t="shared" ref7793T084S3 06" s903>IF(ISBLANK(027793203),"7793203 )</f><v/></c><c2077"3102" t="str"><f t="shared" r2077"32084S3 06" s913>IF(ISBLANK(027793203),"7793203 )</f><v/></c><c2077"3102" t="str"><f t="shared" r2077"32084S3 06" s9S3>IF(ISBLANK(027793203) "SHOP_SKU")</f><v234/c></c><c20277"319="3" 02" t="str"><f t="shared" s883234"/><v/></c><cef=77"3102" t="str"><f t="shared" ref=77"3ef=84S3 06" s933>IF(ISBLANK(027793203) "", "New")</f><v/></c></row><row 780"1span0="19:2"31x14ac:dyDescen02"0.2"3></c><c20780"1s=""3102" t="str"><f t="shared" s8="239"/><v/></c><cT0780"102" t="str"><f t="shared" s903234"/><v/></c><c20780"102" t="str"><f t="shared" s9S3234"/><v/></c><c r780"102" t="str"><f t="shared" s9S3234"/><v/></c><ce02780"1s="3" 02" t="str"><f t="shared" s883234"/><v/></c><cef=780"102" t="str"><f t="shared" s93"234"/><v/></c></row><row 78S31span0="19:2"31x14ac:dyDescen02"0.2"3></c><c2078S319="S3102" t="str"><f t="shared" s8="239"/><v/></c><cT078S3 02" t="str"><f t="shared" s903234"/><v/></c><c2078S3 02" t="str"><f t="shared" s9S3234"/><v/></c><c r78S3 02" t="str"><f t="shared" s9S3234"/><v/></c><ce0278B3201" s="3" t="str"><f t="shared" s883234"/><v/></c><cef=78S3102" t="str"><f t="shared" s93"234"/><v/></c></row><row 78S3 spans="19:2S31x14ac:dyDescen02"0.2="></c><c2078S319=""3102" t="str"><f t="shared" s8="239"/><v/></c><cT078S3 02" t="str"><f t="shared" s903234"/><v/></c><c2078S3 02" t="str"><f t="shared" s9S3234"/><v/></c><c r78S3 02" t="str"><f t="shared" s9S3234"/><v/></c><ce0278B3192" s="3" t="str"><f t="shared" s883234"/><v/></c><cef=78S3 02" t="str"><f t="shared" s93"234"/><v/></c></row><row 783" spans="19:2S31x14ac:dyDescen02"0.2="></c><c20783"19=""3102" t="str"><f t="shared" s8="239"/><v/></c><cT0783" 02" t="str"><f t="shared" s903234"/><v/></c><c20783" 02" t="str"><f t="shared" s9S3234"/><v/></c><c r783" 02" t="str"><f t="shared" s9S3234"/><v/></c><ce02783" s="3"102" t="str"><f t="shared" s883234"/><v/></c><cef=783" 02" t="str"><f t="shared" s93"234"/><v/></c></row><row 78"3204" spans="19:29" x14ac:dyDescent="0.25"><c r78B319=""3102" t="str"><f t="shared" s8="239"/><v/></c><cT078"3102" t="str"><f t="shared" s903234"/><v/></c><c2078"3102" t="str"><f t="shared" s9S3234"/><v/></c><c r78"3102" t="str"><f t="shared" s9S3234"/><v/></c><ce0278B3204" s="3" t="str"><f t="shared" s883234"/><v/></c><cef=78"3102" t="str"><f t="shared" s93"234"/><v/></c></row><row 78"3205" spans="19:29" x14ac:dyDescent="0.25"><c r78"319=""3102" t="str"><f t="shared" s8="239"/><v/></c><cT078"3102" t="str"><f t="shared" s903234"/><v/></c><c2078"3102" t="str"><f t="shared" s9S3234"/><v/></c><c r78"3102" t="str"><f t="shared" s9S3234"/><v/></c><ce0278B3205"S3102" t="str"><f t="shared" s883234"/><v/></c><cef=78"3102" t="str"><f t="shared" s93"234"/><v/></c></row><row 78"3206" spans="19:29" x14ac:dyDescent="0.25"><c r78"320=""3102" t="str"><f t="shared" s8="239"/><v/></c><cT078"3202" t="str"><f t="shared" s903234"/><v/></c><c2078"3202" t="str"><f t="shared" s9S3234"/><v/></c><c r78"3202" t="str"><f t="shared" s9S3234"/><v/></c><ce0278"320="3"102" t="str"><f t="shared" s883234"/><v/></c><cef=78"3202" t="str"><f t="shared" s93"234"/><v/></c></row><row 78"3207" spans="19:29" x14ac:dyDescent="0.25"><c r78"320=""3102" t="str"><f t="shared" s8="239"/><v/></c><cT078"3202" t="str"><f t="shared" s903234"/><v/></c><c2078"3202" t="str"><f t="shared" s9S3234"/><v/></c><c r78"3202" t="str"><f t="shared" s9S3234"/><v/></c><ce0278"320="3"102" t="str"><f t="shared" s883234"/><v/></c><cef=78"3202" t="str"><f t="shared" s93"234"/><v/></c></row><row 78"3208" spans="19:29" x14ac:dyDescent="0.25"><c r78"320=""3102" t="str"><f t="shared" s8="239"/><v/></c><cT078"3202" t="str"><f t="shared" s903234"/><v/></c><c2078"3202" t="str"><f t="shared" s9S3234"/><v/></c><c r78"3202" t="str"><f t="shared" s9S3234"/><v/></c><ce0278"320="3"102" t="str"><f t="shared" s883234"/><v/></c><cef=78"3202" t="str"><f t="shared" s93"234"/><v/></c></row><row 78"31span0="19:2"31x14ac:dyDescen02"0.2"3></c><c2078"319=""3102" t="str"><f t="shared" s8="239"/><v/></c><cT078"3102" t="str"><f t="shared" s903234"/><v/></c><c2078"3102" t="str"><f t="shared" s9S3234"/><v/></c><c r78"3102" t="str"><f t="shared" s9S3234"/><v/></c><ce0278"319="3"102" t="str"><f t="shared" s883234"/><v/></c><cef=78"3102" t="str"><f t="shared" s93"234"/><v/></c></row><row 79031span0="19:2"31x14ac:dyDescen02"0.2"3></c><c2079031s=""3102" t="str"><f t="shared" s8="239"/><v/></c><cT07903102" t="str"><f t="shared" s903234"/><v/></c><c207903102" t="str"><f t="shared" s9S3234"/><v/></c><c r7903102" t="str"><f t="shared" s9S3234"/><v/></c><ce0279031s="3" 02" t="str"><f t="shared" s883234"/><v/></c><cef=7903102" t="str"><f t="shared" s93"234"/><v/></c></row><row 79S31span0="19:2"31x14ac:dyDescen02"0.2"3></c><c20791319=""3102" t="str"><f t="shared" s8="239"/><v/></c><cT07913102" t="str"><f t="shared" s903234"/><v/></c><c2079S3 02" t="str"><f t="shared" s9S3234"/><v/></c><c r7913102" t="str"><f t="shared" s9S3234"/><v/></c><ce0279B3201" s="3" t="str"><f t="shared" s883234"/><v/></c><cef=7913102" t="str"><f t="shared" s93"234"/><v/></c></row><row 79S3 spans="19:2S31x14ac:dyDescen02"0.2="></c><c2079S319=""3102" t="str"><f t="shared" s8="239"/><v/></c><cT079S3102" t="str"><f t="shared" s903234"/><v/></c><c2079S3 02" t="str"><f t="shared" s9S3234"/><v/></c><c r79S3102" t="str"><f t="shared" s9S3234"/><v/></c><ce0279B3192" s="3" t="str"><f t="shared" s883234"/><v/></c><cef=79S3102" t="str"><f t="shared" s93"234"/><v/></c></row><row 793" spans="19:2S31x14ac:dyDescen02"0.2="></c><c20793"19=""3102" t="str"><f t="shared" s8="239"/><v/></c><cT0793"102" t="str"><f t="shared" s903234"/><v/></c><c20793" 02" t="str"><f t="shared" s9S3234"/><v/></c><c r793"102" t="str"><f t="shared" s9S3234"/><v/></c><ce02793" s="3"102" t="str"><f t="shared" s883234"/><v/></c><cef=793"102" t="str"><f t="shared" s93"234"/><v/></c></row><row 79"3204" spans="19:29" x14ac:dyDescent="0.25"><c r79B319=""3102" t="str"><f t="shared" s8="239"/><v/></c><cT079B3102" t="str"><f t="shared" s903234"/><v/></c><c2079"3102" t="str"><f t="shared" s9S3234"/><v/></c><c r79B3102" t="str"><f t="shared" s9S3234"/><v/></c><ce0279B3204" s="3" t="str"><f t="shared" s883234"/><v/></c><cef=79B3102" t="str"><f t="shared" s93"234"/><v/></c></row><row 79"3205" spans="19:29" x14ac:dyDescent="0.25"><c r79"319=""3102" t="str"><f t="shared" s8="239"/><v/></c><cT079"3102" t="str"><f t="shared" s903234"/><v/></c><c2079"3102" t="str"><f t="shared" s9S3234"/><v/></c><c r79"3102" t="str"><f t="shared" s9S3234"/><v/></c><ce0279B3205"S3102" t="str"><f t="shared" s883234"/><v/></c><cef=79"3102" t="str"><f t="shared" s93"234"/><v/></c></row><row 79"3206" spans="19:29" x14ac:dyDescent="0.25"><c r79"320=""3102" t="str"><f t="shared" s8="239"/><v/></c><cT079"3202" t="str"><f t="shared" s903234"/><v/></c><c2079"3202" t="str"><f t="shared" s9S3234"/><v/></c><c r79"3202" t="str"><f t="shared" s9S3234"/><v/></c><ce0279"320="3"102" t="str"><f t="shared" s883234"/><v/></c><cef=79"3202" t="str"><f t="shared" s93"234"/><v/></c></row><row 79"3207" spans="19:29" x14ac:dyDescent="0.25"><c r79"320=""3102" t="str"><f t="shared" s8="239"/><v/></c><cT079"3202" t="str"><f t="shared" s903234"/><v/></c><c2079"3202" t="str"><f t="shared" s9S3234"/><v/></c><c r79"3202" t="str"><f t="shared" s9S3234"/><v/></c><ce0279"320="3"102" t="str"><f t="shared" s883234"/><v/></c><cef=79"3202" t="str"><f t="shared" s93"234"/><v/></c></row><row 79"3208" spans="19:29" x14ac:dyDescent="0.25"><c r79"320=""3102" t="str"><f t="shared" s8="239"/><v/></c><cT079"3202" t="str"><f t="shared" s903234"/><v/></c><c2079"3202" t="str"><f t="shared" s9S3234"/><v/></c><c r79"3202" t="str"><f t="shared" s9S3234"/><v/></c><ce0279"320="3"102" t="str"><f t="shared" s883234"/><v/></c><cef=79"3202" t="str"><f t="shared" s93"234"/><v/></c></row><row 79"31span0="19:2"31x14ac:dyDescen02"0.2"3></c><c2079"319=""3102" t="str"><f t="shared" s8="239"/><v/></c><cT079"3102" t="str"><f t="shared" s903234"/><v/></c><c2079"3102" t="str"><f t="shared" s9S3234"/><v/></c><c r79"3102" t="str"><f t="shared" s9S3234"/><v/></c><ce0279"319="3"102" t="str"><f t="shared" s883234"/><v/></c><cef=79"3102" t="str"><f t="shared" s93"234"/><v/></c></row><row 80031span0="19:2"31x14ac:dyDescen02"0.2"3></c><c2080031s=""3102" t="str"><f t="shared" s8="239"/><v/></c><cT08003102" t="str"><f t="shared" s903234"/><v/></c><c208003102" t="str"><f t="shared" s9S3234"/><v/></c><c r8003102" t="str"><f t="shared" s9S3234"/><v/></c><ce0280031s="3" 02" t="str"><f t="shared" s883234"/><v/></c><cef=8003102" t="str"><f t="shared" s93"234"/><v/></c></row><row 80S31span0="19:2"31x14ac:dyDescen02"0.2"3></c><c20801319=""3102" t="str"><f t="shared" s8="239"/><v/></c><cT08013102" t="str"><f t="shared" s903234"/><v/></c><c2080S3 02" t="str"><f t="shared" s9S3234"/><v/></c><c r8013102" t="str"><f t="shared" s9S3234"/><v/></c><ce0280B3201" s="3" t="str"><f t="shared" s883234"/><v/></c><cef=8013102" t="str"><f t="shared" s93"234"/><v/></c></row><row 80S3 spans="19:2S31x14ac:dyDescen02"0.2="></c><c2080S319=""3102" t="str"><f t="shared" s8="239"/><v/></c><cT080S3102" t="str"><f t="shared" s903234"/><v/></c><c2080S3 02" t="str"><f t="shared" s9S3234"/><v/></c><c r80S3102" t="str"><f t="shared" s9S3234"/><v/></c><ce0280B3192" s="3" t="str"><f t="shared" s883234"/><v/></c><cef=80S3102" t="str"><f t="shared" s93"234"/><v/></c></row><row 803" spans="19:2S31x14ac:dyDescen02"0.2="></c><c20803"19=""3102" t="str"><f t="shared" s8="239"/><v/></c><cT0803"102" t="str"><f t="shared" s903234"/><v/></c><c20803" 02" t="str"><f t="shared" s9S3234"/><v/></c><c r803"102" t="str"><f t="shared" s9S3234"/><v/></c><ce02803" s="3"102" t="str"><f t="shared" s883234"/><v/></c><cef=803"102" t="str"><f t="shared" s93"234"/><v/></c></row><row 80"3204" spans="19:29" x14ac:dyDescent="0.25"><c r80B319=""3102" t="str"><f t="shared" s8="239"/><v/></c><cT080B3102" t="str"><f t="shared" s903234"/><v/></c><c2080"3102" t="str"><f t="shared" s9S3234"/><v/></c><c r80B3102" t="str"><f t="shared" s9S3234"/><v/></c><ce0280B3204" s="3" t="str"><f t="shared" s883234"/><v/></c><cef=80B3102" t="str"><f t="shared" s93"234"/><v/></c></row><row 80"3205" spans="19:29" x14ac:dyDescent="0.25"><c r80"319=""3102" t="str"><f t="shared" s8="239"/><v/></c><cT080"3102" t="str"><f t="shared" s903234"/><v/></c><c2080"3102" t="str"><f t="shared" s9S3234"/><v/></c><c r80"3102" t="str"><f t="shared" s9S3234"/><v/></c><ce0280B3205"S3102" t="str"><f t="shared" s883234"/><v/></c><cef=80"3102" t="str"><f t="shared" s93"234"/><v/></c></row><row 80"3206" spans="19:29" x14ac:dyDescent="0.25"><c r80"320=""3102" t="str"><f t="shared" s8="239"/><v/></c><cT080"3202" t="str"><f t="shared" s903234"/><v/></c><c2080"3202" t="str"><f t="shared" s9S3234"/><v/></c><c r80"3202" t="str"><f t="shared" s9S3234"/><v/></c><ce0280"320="3"102" t="str"><f t="shared" s883234"/><v/></c><cef=80"3202" t="str"><f t="shared" s93"234"/><v/></c></row><row 80"3207" spans="19:29" x14ac:dyDescent="0.25"><c r80"320=""3102" t="str"><f t="shared" s8="239"/><v/></c><cT080"3202" t="str"><f t="shared" s903234"/><v/></c><c2080"3202" t="str"><f t="shared" s9S3234"/><v/></c><c r80"3202" t="str"><f t="shared" s9S3234"/><v/></c><ce0280"320="3"102" t="str"><f t="shared" s883234"/><v/></c><cef=80"3202" t="str"><f t="shared" s93"234"/><v/></c></row><row 80"3208" spans="19:29" x14ac:dyDescent="0.25"><c r80"320=""3102" t="str"><f t="shared" s8="239"/><v/></c><cT080"3202" t="str"><f t="shared" s903234"/><v/></c><c2080"3202" t="str"><f t="shared" s9S3234"/><v/></c><c r80"3202" t="str"><f t="shared" s9S3234"/><v/></c><ce0280"320="3"102" t="str"><f t="shared" s883234"/><v/></c><cef=80"3202" t="str"><f t="shared" s93"234"/><v/></c></row><row 80"31span0="19:2"31x14ac:dyDescen02"0.2"3></c><c2080"319=""3102" t="str"><f t="shared" s8="239"/><v/></c><cT080"3102" t="str"><f t="shared" s903234"/><v/></c><c2080"3102" t="str"><f t="shared" s9S3234"/><v/></c><c r80"3102" t="str"><f t="shared" s9S3234"/><v/></c><ce0280"319="3"102" t="str"><f t="shared" s883234"/><v/></c><cef=80"3102" t="str"><f t="shared" s93"234"/><v/></c></row><row 81031span0="19:2"31x14ac:dyDescen02"0.2"3></c><c2081031s=""3102" t="str"><f t="shared" s8="239"/><v/></c><cT08103102" t="str"><f t="shared" s903234"/><v/></c><c208103102" t="str"><f t="shared" s9S3234"/><v/></c><c r8103102" t="str"><f t="shared" s9S3234"/><v/></c><ce0281031s="3" 02" t="str"><f t="shared" s883234"/><v/></c><cef=8103102" t="str"><f t="shared" s93"234"/><v/></c></row><row 81S31span0="19:2"31x14ac:dyDescen02"0.2"3></c><c20811319=""3102" t="str"><f t="shared" s8="239"/><v/></c><cT08113102" t="str"><f t="shared" s903234"/><v/></c><c2081S3 02" t="str"><f t="shared" s9S3234"/><v/></c><c r8113102" t="str"><f t="shared" s9S3234"/><v/></c><ce0281B3201" s="3" t="str"><f t="shared" s883234"/><v/></c><cef=8113102" t="str"><f t="shared" s93"234"/><v/></c></row><row 81S3 spans="19:2S31x14ac:dyDescen02"0.2="></c><c2081S319=""3102" t="str"><f t="shared" s8="239"/><v/></c><cT081S3102" t="str"><f t="shared" s903234"/><v/></c><c2081S3 02" t="str"><f t="shared" s9S3234"/><v/></c><c r81S3102" t="str"><f t="shared" s9S3234"/><v/></c><ce0281B3192" s="3" t="str"><f t="shared" s883234"/><v/></c><cef=81S3102" t="str"><f t="shared" s93"234"/><v/></c></row><row 813" spans="19:2S31x14ac:dyDescen02"0.2="></c><c20813"19=""3102" t="str"><f t="shared" s8="239"/><v/></c><cT0813"102" t="str"><f t="shared" s903234"/><v/></c><c20813" 02" t="str"><f t="shared" s9S3234"/><v/></c><c r813"102" t="str"><f t="shared" s9S3234"/><v/></c><ce02813" s="3"102" t="str"><f t="shared" s883234"/><v/></c><cef=813"102" t="str"><f t="shared" s93"234"/><v/></c></row><row 81"3204" spans="19:29" x14ac:dyDescent="0.25"><c r81B319=""3102" t="str"><f t="shared" s8="239"/><v/></c><cT081B3102" t="str"><f t="shared" s903234"/><v/></c><c2081"3102" t="str"><f t="shared" s9S3234"/><v/></c><c r81B3102" t="str"><f t="shared" s9S3234"/><v/></c><ce0281B3204" s="3" t="str"><f t="shared" s883234"/><v/></c><cef=81B3102" t="str"><f t="shared" s93"234"/><v/></c></row><row 81"3205" spans="19:29" x14ac:dyDescent="0.25"><c r81"319=""3102" t="str"><f t="shared" s8="239"/><v/></c><cT081"3102" t="str"><f t="shared" s903234"/><v/></c><c2081"3102" t="str"><f t="shared" s9S3234"/><v/></c><c r81"3102" t="str"><f t="shared" s9S3234"/><v/></c><ce0281B3205"S3102" t="str"><f t="shared" s883234"/><v/></c><cef=81"3102" t="str"><f t="shared" s93"234"/><v/></c></row><row 81"3206" spans="19:29" x14ac:dyDescent="0.25"><c r81"320=""3102" t="str"><f t="shared" s8="239"/><v/></c><cT081"3202" t="str"><f t="shared" s903234"/><v/></c><c2081"3202" t="str"><f t="shared" s9S3234"/><v/></c><c r81"3202" t="str"><f t="shared" s9S3234"/><v/></c><ce0281"320="3"102" t="str"><f t="shared" s883234"/><v/></c><cef=81"3202" t="str"><f t="shared" s93"234"/><v/></c></row><row 81"3207" spans="19:29" x14ac:dyDescent="0.25"><c r81"320=""3102" t="str"><f t="shared" s8="239"/><v/></c><cT081"3202" t="str"><f t="shared" s903234"/><v/></c><c2081"3202" t="str"><f t="shared" s9S3234"/><v/></c><c r81"3202" t="str"><f t="shared" s9S3234"/><v/></c><ce0281"320="3"102" t="str"><f t="shared" s883234"/><v/></c><cef=81"3202" t="str"><f t="shared" s93"234"/><v/></c></row><row 81"3208" spans="19:29" x14ac:dyDescent="0.25"><c r81"320=""3102" t="str"><f t="shared" s8="239"/><v/></c><cT081"3202" t="str"><f t="shared" s903234"/><v/></c><c2081"3202" t="str"><f t="shared" s9S3234"/><v/></c><c r81"3202" t="str"><f t="shared" s9S3234"/><v/></c><ce0281"320="3"102" t="str"><f t="shared" s883234"/><v/></c><cef=81"3202" t="str"><f t="shared" s93"234"/><v/></c></row><row 81"31span0="19:2"31x14ac:dyDescen02"0.2"3></c><c2081"319=""3102" t="str"><f t="shared" s8="239"/><v/></c><cT081"3102" t="str"><f t="shared" s903234"/><v/></c><c2081"3102" t="str"><f t="shared" s9S3234"/><v/></c><c r81"3102" t="str"><f t="shared" s9S3234"/><v/></c><ce0281"319="3"102" t="str"><f t="shared" s883234"/><v/></c><cef=81"3102" t="str"><f t="shared" s93"234"/><v/></c></row><row 82031span0="19:2"31x14ac:dyDescen02"0.2"3></c><c2082031s=""3102" t="str"><f t="shared" s8="239"/><v/></c><cT08203102" t="str"><f t="shared" s903234"/><v/></c><c208203102" t="str"><f t="shared" s9S3234"/><v/></c><c r8203102" t="str"><f t="shared" s9S3234"/><v/></c><ce0282031s="3" 02" t="str"><f t="shared" s883234"/><v/></c><cef=8203102" t="str"><f t="shared" s93"234"/><v/></c></row><row 82S31span0="19:2"31x14ac:dyDescen02"0.2"3></c><c20821319=""3102" t="str"><f t="shared" s8="239"/><v/></c><cT08213102" t="str"><f t="shared" s903234"/><v/></c><c2082S3 02" t="str"><f t="shared" s9S3234"/><v/></c><c r8213102" t="str"><f t="shared" s9S3234"/><v/></c><ce0282B3201" s="3" t="str"><f t="shared" s883234"/><v/></c><cef=8213102" t="str"><f t="shared" s93"234"/><v/></c></row><row 82S3 spans="19:2S31x14ac:dyDescen02"0.2="></c><c2082S319=""3102" t="str"><f t="shared" s8="239"/><v/></c><cT082S3102" t="str"><f t="shared" s903234"/><v/></c><c2082S3 02" t="str"><f t="shared" s9S3234"/><v/></c><c r82S3102" t="str"><f t="shared" s9S3234"/><v/></c><ce0282B3192" s="3" t="str"><f t="shared" s883234"/><v/></c><cef=82S3102" t="str"><f t="shared" s93"234"/><v/></c></row><row 823" spans="19:2S31x14ac:dyDescen02"0.2="></c><c20823"19=""3102" t="str"><f t="shared" s8="239"/><v/></c><cT0823"102" t="str"><f t="shared" s903234"/><v/></c><c20823" 02" t="str"><f t="shared" s9S3234"/><v/></c><c r823"102" t="str"><f t="shared" s9S3234"/><v/></c><ce02823" s="3"102" t="str"><f t="shared" s883234"/><v/></c><cef=823"102" t="str"><f t="shared" s93"234"/><v/></c></row><row 82"3204" spans="19:29" x14ac:dyDescent="0.25"><c r82B319=""3102" t="str"><f t="shared" s8="239"/><v/></c><cT082B3102" t="str"><f t="shared" s903234"/><v/></c><c2082"3102" t="str"><f t="shared" s9S3234"/><v/></c><c r82B3102" t="str"><f t="shared" s9S3234"/><v/></c><ce0282B3204" s="3" t="str"><f t="shared" s883234"/><v/></c><cef=82B3102" t="str"><f t="shared" s93"234"/><v/></c></row><row 82"3205" spans="19:29" x14ac:dyDescent="0.25"><c r82"319=""3102" t="str"><f t="shared" s8="239"/><v/></c><cT082"3102" t="str"><f t="shared" s903234"/><v/></c><c2082"3102" t="str"><f t="shared" s9S3234"/><v/></c><c r82"3102" t="str"><f t="shared" s9S3234"/><v/></c><ce0282B3205"S3102" t="str"><f t="shared" s883234"/><v/></c><cef=82"3102" t="str"><f t="shared" s93"234"/><v/></c></row><row 82"3206" spans="19:29" x14ac:dyDescent="0.25"><c r82"320=""3102" t="str"><f t="shared" s8="239"/><v/></c><cT082"3202" t="str"><f t="shared" s903234"/><v/></c><c2082"3202" t="str"><f t="shared" s9S3234"/><v/></c><c r82"3202" t="str"><f t="shared" s9S3234"/><v/></c><ce0282"320="3"102" t="str"><f t="shared" s883234"/><v/></c><cef=82"3202" t="str"><f t="shared" s93"234"/><v/></c></row><row 82"3207" spans="19:29" x14ac:dyDescent="0.25"><c r82"320=""3102" t="str"><f t="shared" s8="239"/><v/></c><cT082"3202" t="str"><f t="shared" s903234"/><v/></c><c2082"3202" t="str"><f t="shared" s9S3234"/><v/></c><c r82"3202" t="str"><f t="shared" s9S3234"/><v/></c><ce0282"320="3"102" t="str"><f t="shared" s883234"/><v/></c><cef=82"3202" t="str"><f t="shared" s93"234"/><v/></c></row><row 82"3208" spans="19:29" x14ac:dyDescent="0.25"><c r82"320=""3102" t="str"><f t="shared" s8="239"/><v/></c><cT082"3202" t="str"><f t="shared" s903234"/><v/></c><c2082"3202" t="str"><f t="shared" s9S3234"/><v/></c><c r82"3202" t="str"><f t="shared" s9S3234"/><v/></c><ce0282"320="3"102" t="str"><f t="shared" s883234"/><v/></c><cef=82"3202" t="str"><f t="shared" s93"234"/><v/></c></row><row 82"31span0="19:2"31x14ac:dyDescen02"0.2"3></c><c2082"319=""3102" t="str"><f t="shared" s8="239"/><v/></c><cT082"3102" t="str"><f t="shared" s903234"/><v/></c><c2082"3102" t="str"><f t="shared" s9S3234"/><v/></c><c r82"3102" t="str"><f t="shared" s9S3234"/><v/></c><ce0282"319="3"102" t="str"><f t="shared" s883234"/><v/></c><cef=82"3102" t="str"><f t="shared" s93"234"/><v/></c></row><row 83031span0="19:2"31x14ac:dyDescen02"0.2"3></c><c2083031s=""3102" t="str"><f t="shared" s8="239"/><v/></c><cT08303102" t="str"><f t="shared" s903234"/><v/></c><c208303102" t="str"><f t="shared" s9S3234"/><v/></c><c r8303102" t="str"><f t="shared" s9S3234"/><v/></c><ce0283031s="3" 02" t="str"><f t="shared" s883234"/><v/></c><cef=8303102" t="str"><f t="shared" s93"234"/><v/></c></row><row 83S31span0="19:2"31x14ac:dyDescen02"0.2"3></c><c20831319=""3102" t="str"><f t="shared" s8="239"/><v/></c><cT08313102" t="str"><f t="shared" s903234"/><v/></c><c2083S3 02" t="str"><f t="shared" s9S3234"/><v/></c><c r8313102" t="str"><f t="shared" s9S3234"/><v/></c><ce0283B3201" s="3" t="str"><f t="shared" s883234"/><v/></c><cef=8313102" t="str"><f t="shared" s93"234"/><v/></c></row><row 83S3 spans="19:2S31x14ac:dyDescen02"0.2="></c><c2083S319=""3102" t="str"><f t="shared" s8="239"/><v/></c><cT083S3102" t="str"><f t="shared" s903234"/><v/></c><c2083S3 02" t="str"><f t="shared" s9S3234"/><v/></c><c r83S3102" t="str"><f t="shared" s9S3234"/><v/></c><ce0283B3192" s="3" t="str"><f t="shared" s883234"/><v/></c><cef=83S3102" t="str"><f t="shared" s93"234"/><v/></c></row><row 833" spans="19:2S31x14ac:dyDescen02"0.2="></c><c20833"19=""3102" t="str"><f t="shared" s8="239"/><v/></c><cT0833"102" t="str"><f t="shared" s903234"/><v/></c><c20833" 02" t="str"><f t="shared" s9S3234"/><v/></c><c r833"102" t="str"><f t="shared" s9S3234"/><v/></c><ce02833" s="3"102" t="str"><f t="shared" s883234"/><v/></c><cef=833"102" t="str"><f t="shared" s93"234"/><v/></c></row><row 83"3204" spans="19:29" x14ac:dyDescent="0.25"><c r83B319=""3102" t="str"><f t="shared" s8="239"/><v/></c><cT083B3102" t="str"><f t="shared" s903234"/><v/></c><c2083"3102" t="str"><f t="shared" s9S3234"/><v/></c><c r83B3102" t="str"><f t="shared" s9S3234"/><v/></c><ce0283B3204" s="3" t="str"><f t="shared" s883234"/><v/></c><cef=83B3102" t="str"><f t="shared" s93"234"/><v/></c></row><row 83"3205" spans="19:29" x14ac:dyDescent="0.25"><c r83"319=""3102" t="str"><f t="shared" s8="239"/><v/></c><cT083"3102" t="str"><f t="shared" s903234"/><v/></c><c2083"3102" t="str"><f t="shared" s9S3234"/><v/></c><c r83"3102" t="str"><f t="shared" s9S3234"/><v/></c><ce0283B3205"S3102" t="str"><f t="shared" s883234"/><v/></c><cef=83"3102" t="str"><f t="shared" s93"234"/><v/></c></row><row 83"3206" spans="19:29" x14ac:dyDescent="0.25"><c r83"320=""3102" t="str"><f t="shared" s8="239"/><v/></c><cT083"3202" t="str"><f t="shared" s903234"/><v/></c><c2083"3202" t="str"><f t="shared" s9S3234"/><v/></c><c r83"3202" t="str"><f t="shared" s9S3234"/><v/></c><ce0283"320="3"102" t="str"><f t="shared" s883234"/><v/></c><cef=83"3202" t="str"><f t="shared" s93"234"/><v/></c></row><row 83"3207" spans="19:29" x14ac:dyDescent="0.25"><c r83"320=""3102" t="str"><f t="shared" s8="239"/><v/></c><cT083"3202" t="str"><f t="shared" s903234"/><v/></c><c2083"3202" t="str"><f t="shared" s9S3234"/><v/></c><c r83"3202" t="str"><f t="shared" s9S3234"/><v/></c><ce0283"320="3"102" t="str"><f t="shared" s883234"/><v/></c><cef=83"3202" t="str"><f t="shared" s93"234"/><v/></c></row><row 83"3208" spans="19:29" x14ac:dyDescent="0.25"><c r83"320=""3102" t="str"><f t="shared" s8="239"/><v/></c><cT083"3202" t="str"><f t="shared" s903234"/><v/></c><c2083"3202" t="str"><f t="shared" s9S3234"/><v/></c><c r83"3202" t="str"><f t="shared" s9S3234"/><v/></c><ce0283"320="3"102" t="str"><f t="shared" s883234"/><v/></c><cef=83"3202" t="str"><f t="shared" s93"234"/><v/></c></row><row 83"31span0="19:2"31x14ac:dyDescen02"0.2"3></c><c2083"319=""3102" t="str"><f t="shared" s8="239"/><v/></c><cT083"3102" t="str"><f t="shared" s903234"/><v/></c><c2083"3102" t="str"><f t="shared" s9S3234"/><v/></c><c r83"3102" t="str"><f t="shared" s9S3234"/><v/></c><ce0283"319="3"102" t="str"><f t="shared" s883234"/><v/></c><cef=83"3102" t="str"><f t="shared" s93"234"/><v/></c></row><row 84031span0="19:2"31x14ac:dyDescen02"0.2"3></c><c2084031s=""3102" t="str"><f t="shared" s8="239"/><v/></c><cT08403102" t="str"><f t="shared" s903234"/><v/></c><c208403102" t="str"><f t="shared" s9S3234"/><v/></c><c r8403102" t="str"><f t="shared" s9S3234"/><v/></c><ce0284031s="3" 02" t="str"><f t="shared" s883234"/><v/></c><cef=8403102" t="str"><f t="shared" s93"234"/><v/></c></row><row 84S31span0="19:2"31x14ac:dyDescen02"0.2"3></c><c2084S319=""3102" t="str"><f t="shared" s8="239"/><v/></c><cT08413102" t="str"><f t="shared" s903234"/><v/></c><c2084S3102" t="str"><f t="shared" s9S3234"/><v/></c><c r84S3102" t="str"><f t="shared" s9S3234"/><v/></c><ce0284B3201" s="3" t="str"><f t="shared" s883234"/><v/></c><cef=84S3102" t="str"><f t="shared" s93"234"/><v/></c></row><row 84S3 spans="19:2S31x14ac:dyDescen02"0.2="></c><c2084S3 0=""3102" t="str"><f t="shared" s8="239"/><v/></c><cT084S3102" t="str"><f t="shared" s903234"/><v/></c><c2084S3 02" t="str"><f t="shared" s9S3234"/><v/></c><c r84S3 02" t="str"><f t="shared" s9S3234"/><v/></c><ce0284B3192" s="3" t="str"><f t="shared" ref=84S320290"3196" s9B3>IF(ISBLANK(028423202),"", "10")</f><v/></c><c r=84S3 02" t="str"><f t="shared" s93"234"/><v/></c></row><row 843" spans="19:2S31x14ac:dyDescen02"0.2="></c><c20843"19=""3102" t="str"><f t="shared" ref84332090"3206" s953>IF(ISBLANK(028433203),"8433203 )</f><v/></c><c r8433 02" t="str"><f t="shared" ref8433T090"3206" s963>IF(ISBLANK(028433203),"8433203 )</f><v/></c><c208433 02" t="str"><f t="shared" r2084332090"3206" s973>IF(ISBLANK(028433203),"8433203 )</f><v/></c><c208433 02" t="str"><f t="shared" r2084332090"3206" s983>IF(ISBLANK(028433202),"SHOP_SKU")</f><v234/c></c><c202843" s="3"102" t="str"><f t="shared" s9B3234"/><v/></c><cef=8433 02" t="str"><f t="shared" ref=8433ef=90"3206" s993>IF(ISBLANK(028433202),"", "New")</f><v/></c></row><row 84"3204" spans="19:29" x14ac:dyDescent="0.25"><c r84"320=""3102" t="str"><f t="shared" s9"3234"/><v/></c><cT084"3102" t="str"><f t="shared" s96"234"/><v/></c><c2084"3102" t="str"><f t="shared" s9="237"/><v/></c><c r84"3102" t="str"><f t="shared" s983234"/><v/></c><ce0284B3204" s="3" t="str"><f t="shared" s9B3234"/><v/></c><cef=84"3102" t="str"><f t="shared" s9="239"/><v/></c></row><row 84"3205" spans="19:29" x14ac:dyDescent="0.25"><c r84"320=""3102" t="str"><f t="shared" s9"3234"/><v/></c><cT084"3102" t="str"><f t="shared" s96"234"/><v/></c><c2084"3102" t="str"><f t="shared" s9="237"/><v/></c><c r84"3102" t="str"><f t="shared" s983234"/><v/></c><ce0284B3205"S3102" t="str"><f t="shared" s9B3234"/><v/></c><cef=84"3102" t="str"><f t="shared" s9="239"/><v/></c></row><row 84"3206" spans="19:29" x14ac:dyDescent="0.25"><c r84"320=""3102" t="str"><f t="shared" s9"3234"/><v/></c><cT084"3202" t="str"><f t="shared" s96"234"/><v/></c><c2084"3202" t="str"><f t="shared" s9="237"/><v/></c><c r84"3202" t="str"><f t="shared" s983234"/><v/></c><ce0284"320="3"102" t="str"><f t="shared" s9B3234"/><v/></c><cef=84"3202" t="str"><f t="shared" s9="239"/><v/></c></row><row 84"3207" spans="19:29" x14ac:dyDescent="0.25"><c r84"320=""3102" t="str"><f t="shared" s9"3234"/><v/></c><cT084"3202" t="str"><f t="shared" s96"234"/><v/></c><c2084"3202" t="str"><f t="shared" s9="237"/><v/></c><c r84"3202" t="str"><f t="shared" s983234"/><v/></c><ce0284"320="3"102" t="str"><f t="shared" s9B3234"/><v/></c><cef=84"3202" t="str"><f t="shared" s9="239"/><v/></c></row><row 84"3208" spans="19:29" x14ac:dyDescent="0.25"><c r84"320=""3102" t="str"><f t="shared" s9"3234"/><v/></c><cT084"3202" t="str"><f t="shared" s96"234"/><v/></c><c2084"3202" t="str"><f t="shared" s9="237"/><v/></c><c r84"3202" t="str"><f t="shared" s983234"/><v/></c><ce0284"320="3"102" t="str"><f t="shared" s9B3234"/><v/></c><cef=84"3202" t="str"><f t="shared" s9="239"/><v/></c></row><row 84"31span0="19:2"31x14ac:dyDescen02"0.2"3></c><c2084"319=""3102" t="str"><f t="shared" s9"3234"/><v/></c><cT084"3102" t="str"><f t="shared" s96"234"/><v/></c><c2084"3102" t="str"><f t="shared" s9="237"/><v/></c><c r84"3102" t="str"><f t="shared" s983234"/><v/></c><ce0284"319="3"102" t="str"><f t="shared" s9B3234"/><v/></c><cef=84"3102" t="str"><f t="shared" s9="239"/><v/></c></row><row 85031span0="19:2"31x14ac:dyDescen02"0.2"3></c><c2085031s=""3102" t="str"><f t="shared" s9"3234"/><v/></c><cT08503102" t="str"><f t="shared" s96"234"/><v/></c><c208503102" t="str"><f t="shared" s9="237"/><v/></c><c r8503102" t="str"><f t="shared" s983234"/><v/></c><ce0285031s="3" 02" t="str"><f t="shared" s9B3234"/><v/></c><cef=8503102" t="str"><f t="shared" s9="239"/><v/></c></row><row 85S31span0="19:2"31x14ac:dyDescen02"0.2"3></c><c20851319=""3102" t="str"><f t="shared" s9"3234"/><v/></c><cT08513102" t="str"><f t="shared" s96"234"/><v/></c><c208513102" t="str"><f t="shared" s9="237"/><v/></c><c r8513102" t="str"><f t="shared" s983234"/><v/></c><ce0285B3201" s="3" t="str"><f t="shared" s9B3234"/><v/></c><cef=8513102" t="str"><f t="shared" s9="239"/><v/></c></row><row 85S3 spans="19:2S31x14ac:dyDescen02"0.2="></c><c2085S319=""3102" t="str"><f t="shared" s9"3234"/><v/></c><cT085S3 02" t="str"><f t="shared" s96"234"/><v/></c><c2085S3 02" t="str"><f t="shared" s9="237"/><v/></c><c r85S3 02" t="str"><f t="shared" s983234"/><v/></c><ce0285B3192" s="3" t="str"><f t="shared" s9B3234"/><v/></c><cef=85S3 02" t="str"><f t="shared" s9="239"/><v/></c></row><row 853" spans="19:2S31x14ac:dyDescen02"0.2="></c><c20853"19=""3102" t="str"><f t="shared" s9"3234"/><v/></c><cT0853" 02" t="str"><f t="shared" s96"234"/><v/></c><c20853" 02" t="str"><f t="shared" s9="237"/><v/></c><c r853" 02" t="str"><f t="shared" s983234"/><v/></c><ce02853" s="3"102" t="str"><f t="shared" s9B3234"/><v/></c><cef=853"102" t="str"><f t="shared" s9="239"/><v/></c></row><row 85"3204" spans="19:29" x14ac:dyDescent="0.25"><c r85B319=""3102" t="str"><f t="shared" s9"3234"/><v/></c><cT085"3102" t="str"><f t="shared" s96"234"/><v/></c><c2085B3102" t="str"><f t="shared" s9="237"/><v/></c><c r85B3102" t="str"><f t="shared" s983234"/><v/></c><ce0285B3204" s="3" t="str"><f t="shared" s9B3234"/><v/></c><cef=85B3102" t="str"><f t="shared" s9="239"/><v/></c></row><row 85"3205" spans="19:29" x14ac:dyDescent="0.25"><c r85"319=""3102" t="str"><f t="shared" s9"3234"/><v/></c><cT085"3102" t="str"><f t="shared" s96"234"/><v/></c><c2085"3102" t="str"><f t="shared" s9="237"/><v/></c><c r85"3102" t="str"><f t="shared" s983234"/><v/></c><ce0285"319="3" 02" t="str"><f t="shared" s9B3234"/><v/></c><cef=85"3102" t="str"><f t="shared" s9="239"/><v/></c></row><row 85"3206" spans="19:29" x14ac:dyDescent="0.25"><c r85"320=""3102" t="str"><f t="shared" s9"3234"/><v/></c><cT085"3202" t="str"><f t="shared" s96"234"/><v/></c><c2085"3202" t="str"><f t="shared" s9="237"/><v/></c><c r85"3202" t="str"><f t="shared" s983234"/><v/></c><ce0285"320="3" 02" t="str"><f t="shared" s9B3234"/><v/></c><cef=85"3202" t="str"><f t="shared" s9="239"/><v/></c></row><row 85"3207" spans="19:29" x14ac:dyDescent="0.25"><c r85"320=""3102" t="str"><f t="shared" s9"3234"/><v/></c><cT085"3202" t="str"><f t="shared" s96"234"/><v/></c><c2085"3202" t="str"><f t="shared" s9="237"/><v/></c><c r85"3202" t="str"><f t="shared" s983234"/><v/></c><ce0285"320="3" 02" t="str"><f t="shared" s9B3234"/><v/></c><cef=85"3202" t="str"><f t="shared" s9="239"/><v/></c></row><row 85"3208" spans="19:29" x14ac:dyDescent="0.25"><c r85"320=""3102" t="str"><f t="shared" s9"3234"/><v/></c><cT085"3202" t="str"><f t="shared" s96"234"/><v/></c><c2085"3202" t="str"><f t="shared" s9="237"/><v/></c><c r85"3202" t="str"><f t="shared" s983234"/><v/></c><ce0285"320="3" 02" t="str"><f t="shared" s9B3234"/><v/></c><cef=85"3202" t="str"><f t="shared" s9="239"/><v/></c></row><row 85"31span0="19:2"31x14ac:dyDescen02"0.2"3></c><c2085"31s=""3102" t="str"><f t="shared" s9"3234"/><v/></c><cT085"3102" t="str"><f t="shared" s96"234"/><v/></c><c2085"3102" t="str"><f t="shared" s9="237"/><v/></c><c r85"3102" t="str"><f t="shared" s983234"/><v/></c><ce0285"31s="3" 02" t="str"><f t="shared" s9B3234"/><v/></c><cef=85"3102" t="str"><f t="shared" s9="239"/><v/></c></row><row 86031span0="19:2"31x14ac:dyDescen02"0.2"3></c><c2086031s=""3102" t="str"><f t="shared" s9"3234"/><v/></c><cT08603102" t="str"><f t="shared" s96"234"/><v/></c><c208603102" t="str"><f t="shared" s9="237"/><v/></c><c r8603102" t="str"><f t="shared" s983234"/><v/></c><ce0286031s="3" 02" t="str"><f t="shared" s9B3234"/><v/></c><cef=8603102" t="str"><f t="shared" s9="239"/><v/></c></row><row 86S31span0="19:2"31x14ac:dyDescen02"0.2"3></c><c2086S31s=""3102" t="str"><f t="shared" s9"3234"/><v/></c><cT08613102" t="str"><f t="shared" s96"234"/><v/></c><c2086S3102" t="str"><f t="shared" s9="237"/><v/></c><c r86S3102" t="str"><f t="shared" s983234"/><v/></c><ce0286B3201" s="3" t="str"><f t="shared" s9B3234"/><v/></c><cef=86S3102" t="str"><f t="shared" s9="239"/><v/></c></row><row 86S3 spans="19:2S31x14ac:dyDescen02"0.2="></c><c2086S319=""3102" t="str"><f t="shared" s9"3234"/><v/></c><cT086S3102" t="str"><f t="shared" s96"234"/><v/></c><c2086S3 02" t="str"><f t="shared" s9="237"/><v/></c><c r86S3102" t="str"><f t="shared" s983234"/><v/></c><ce0286B3192" s="3" t="str"><f t="shared" s9B3234"/><v/></c><cef=86S3102" t="str"><f t="shared" s9="239"/><v/></c></row><row 863" spans="19:2S31x14ac:dyDescen02"0.2="></c><c20863"19=""3102" t="str"><f t="shared" s9"3234"/><v/></c><cT0863"102" t="str"><f t="shared" s96"234"/><v/></c><c20863" 02" t="str"><f t="shared" s9="237"/><v/></c><c r863"102" t="str"><f t="shared" s983234"/><v/></c><ce02863" s="3"102" t="str"><f t="shared" s9B3234"/><v/></c><cef=863"102" t="str"><f t="shared" s9="239"/><v/></c></row><row 86"3204" spans="19:29" x14ac:dyDescent="0.25"><c r86B319=""3102" t="str"><f t="shared" s9"3234"/><v/></c><cT086B3102" t="str"><f t="shared" s96"234"/><v/></c><c2086B3102" t="str"><f t="shared" s9="237"/><v/></c><c r86B3102" t="str"><f t="shared" s983234"/><v/></c><ce0286B3204" s="3" t="str"><f t="shared" s9B3234"/><v/></c><cef=86B3102" t="str"><f t="shared" s9="239"/><v/></c></row><row 86"3205" spans="19:29" x14ac:dyDescent="0.25"><c r86"319=""3102" t="str"><f t="shared" s9"3234"/><v/></c><cT086"3102" t="str"><f t="shared" s96"234"/><v/></c><c2086"3102" t="str"><f t="shared" s9="237"/><v/></c><c r86"3102" t="str"><f t="shared" s983234"/><v/></c><ce0286B3205"S3102" t="str"><f t="shared" s9B3234"/><v/></c><cef=86"3102" t="str"><f t="shared" s9="239"/><v/></c></row><row 86"3206" spans="19:29" x14ac:dyDescent="0.25"><c r86"320=""3102" t="str"><f t="shared" s9"3234"/><v/></c><cT086"3202" t="str"><f t="shared" s96"234"/><v/></c><c2086"3202" t="str"><f t="shared" s9="237"/><v/></c><c r86"3202" t="str"><f t="shared" s983234"/><v/></c><ce0286"320="3"102" t="str"><f t="shared" s9B3234"/><v/></c><cef=86"3202" t="str"><f t="shared" s9="239"/><v/></c></row><row 86"3207" spans="19:29" x14ac:dyDescent="0.25"><c r86"320=""3102" t="str"><f t="shared" s9"3234"/><v/></c><cT086"3202" t="str"><f t="shared" s96"234"/><v/></c><c2086"3202" t="str"><f t="shared" s9="237"/><v/></c><c r86"3202" t="str"><f t="shared" s983234"/><v/></c><ce0286"320="3"102" t="str"><f t="shared" s9B3234"/><v/></c><cef=86"3202" t="str"><f t="shared" s9="239"/><v/></c></row><row 86"3208" spans="19:29" x14ac:dyDescent="0.25"><c r86"320=""3102" t="str"><f t="shared" s9"3234"/><v/></c><cT086"3202" t="str"><f t="shared" s96"234"/><v/></c><c2086"3202" t="str"><f t="shared" s9="237"/><v/></c><c r86"3202" t="str"><f t="shared" s983234"/><v/></c><ce0286"320="3"102" t="str"><f t="shared" s9B3234"/><v/></c><cef=86"3202" t="str"><f t="shared" s9="239"/><v/></c></row><row 86"31span0="19:2"31x14ac:dyDescen02"0.2"3></c><c2086"319=""3102" t="str"><f t="shared" s9"3234"/><v/></c><cT086"3102" t="str"><f t="shared" s96"234"/><v/></c><c2086"3102" t="str"><f t="shared" s9="237"/><v/></c><c r86"3102" t="str"><f t="shared" s983234"/><v/></c><ce0286"319="3"102" t="str"><f t="shared" s9B3234"/><v/></c><cef=86"3102" t="str"><f t="shared" s9="239"/><v/></c></row><row 87031span0="19:2"31x14ac:dyDescen02"0.2"3></c><c2087031s=""3102" t="str"><f t="shared" s9"3234"/><v/></c><cT08703102" t="str"><f t="shared" s96"234"/><v/></c><c208703102" t="str"><f t="shared" s9="237"/><v/></c><c r8703102" t="str"><f t="shared" s983234"/><v/></c><ce0287031s="3" 02" t="str"><f t="shared" s9B3234"/><v/></c><cef=8703102" t="str"><f t="shared" s9="239"/><v/></c></row><row 87S31span0="19:2"31x14ac:dyDescen02"0.2"3></c><c20871319=""3102" t="str"><f t="shared" s9"3234"/><v/></c><cT08713102" t="str"><f t="shared" s96"234"/><v/></c><c2087S3102" t="str"><f t="shared" s9="237"/><v/></c><c r8713102" t="str"><f t="shared" s983234"/><v/></c><ce0287B3201" s="3" t="str"><f t="shared" s9B3234"/><v/></c><cef=8713102" t="str"><f t="shared" s9="239"/><v/></c></row><row 87S3 spans="19:2S31x14ac:dyDescen02"0.2="></c><c2087S319=""3102" t="str"><f t="shared" s9"3234"/><v/></c><cT087S3102" t="str"><f t="shared" s96"234"/><v/></c><c2087S3 02" t="str"><f t="shared" s9="237"/><v/></c><c r87S3102" t="str"><f t="shared" s983234"/><v/></c><ce0287B3192" s="3" t="str"><f t="shared" s9B3234"/><v/></c><cef=87S3102" t="str"><f t="shared" s9="239"/><v/></c></row><row 873" spans="19:2S31x14ac:dyDescen02"0.2="></c><c20873"19=""3102" t="str"><f t="shared" s9"3234"/><v/></c><cT0873"102" t="str"><f t="shared" s96"234"/><v/></c><c20873" 02" t="str"><f t="shared" s9="237"/><v/></c><c r873"102" t="str"><f t="shared" s983234"/><v/></c><ce02873" s="3"102" t="str"><f t="shared" s9B3234"/><v/></c><cef=873"102" t="str"><f t="shared" s9="239"/><v/></c></row><row 87"3204" spans="19:29" x14ac:dyDescent="0.25"><c r87B319=""3102" t="str"><f t="shared" s9"3234"/><v/></c><cT087B3102" t="str"><f t="shared" s96"234"/><v/></c><c2087B3102" t="str"><f t="shared" s9="237"/><v/></c><c r87B3102" t="str"><f t="shared" s983234"/><v/></c><ce0287B3204" s="3" t="str"><f t="shared" s9B3234"/><v/></c><cef=87B3102" t="str"><f t="shared" s9="239"/><v/></c></row><row 87"3205" spans="19:29" x14ac:dyDescent="0.25"><c r87"319=""3102" t="str"><f t="shared" s9"3234"/><v/></c><cT087"3102" t="str"><f t="shared" s96"234"/><v/></c><c2087"3102" t="str"><f t="shared" s9="237"/><v/></c><c r87"3102" t="str"><f t="shared" s983234"/><v/></c><ce0287B3205"S3102" t="str"><f t="shared" s9B3234"/><v/></c><cef=87"3102" t="str"><f t="shared" s9="239"/><v/></c></row><row 87"3206" spans="19:29" x14ac:dyDescent="0.25"><c r87"320=""3102" t="str"><f t="shared" s9"3234"/><v/></c><cT087"3202" t="str"><f t="shared" s96"234"/><v/></c><c2087"3202" t="str"><f t="shared" s9="237"/><v/></c><c r87"3202" t="str"><f t="shared" s983234"/><v/></c><ce0287"320="3"102" t="str"><f t="shared" s9B3234"/><v/></c><cef=87"3202" t="str"><f t="shared" s9="239"/><v/></c></row><row 87"3207" spans="19:29" x14ac:dyDescent="0.25"><c r87"320=""3102" t="str"><f t="shared" s9"3234"/><v/></c><cT087"3202" t="str"><f t="shared" s96"234"/><v/></c><c2087"3202" t="str"><f t="shared" s9="237"/><v/></c><c r87"3202" t="str"><f t="shared" s983234"/><v/></c><ce0287"320="3"102" t="str"><f t="shared" s9B3234"/><v/></c><cef=87"3202" t="str"><f t="shared" s9="239"/><v/></c></row><row 87"3208" spans="19:29" x14ac:dyDescent="0.25"><c r87"320=""3102" t="str"><f t="shared" s9"3234"/><v/></c><cT087"3202" t="str"><f t="shared" s96"234"/><v/></c><c2087"3202" t="str"><f t="shared" s9="237"/><v/></c><c r87"3202" t="str"><f t="shared" s983234"/><v/></c><ce0287"320="3"102" t="str"><f t="shared" s9B3234"/><v/></c><cef=87"3202" t="str"><f t="shared" s9="239"/><v/></c></row><row 87"31span0="19:2"31x14ac:dyDescen02"0.2"3></c><c2087"319=""3102" t="str"><f t="shared" s9"3234"/><v/></c><cT087"3102" t="str"><f t="shared" s96"234"/><v/></c><c2087"3102" t="str"><f t="shared" s9="237"/><v/></c><c r87"3102" t="str"><f t="shared" s983234"/><v/></c><ce0287"319="3"102" t="str"><f t="shared" s9B3234"/><v/></c><cef=87"3102" t="str"><f t="shared" s9="239"/><v/></c></row><row 88031span0="19:2"31x14ac:dyDescen02"0.2"3></c><c2088031s=""3102" t="str"><f t="shared" s9"3234"/><v/></c><cT08803102" t="str"><f t="shared" s96"234"/><v/></c><c208803102" t="str"><f t="shared" s9="237"/><v/></c><c r8803102" t="str"><f t="shared" s983234"/><v/></c><ce0288031s="3" 02" t="str"><f t="shared" s9B3234"/><v/></c><cef=8803102" t="str"><f t="shared" s9="239"/><v/></c></row><row 88S31span0="19:2"31x14ac:dyDescen02"0.2"3></c><c20881319=""3102" t="str"><f t="shared" s9"3234"/><v/></c><cT08813102" t="str"><f t="shared" s96"234"/><v/></c><c2088S3102" t="str"><f t="shared" s9="237"/><v/></c><c r8813102" t="str"><f t="shared" s983234"/><v/></c><ce0288B3201" s="3" t="str"><f t="shared" s9B3234"/><v/></c><cef=8813102" t="str"><f t="shared" s9="239"/><v/></c></row><row 88S3 spans="19:2S31x14ac:dyDescen02"0.2="></c><c2088S319=""3102" t="str"><f t="shared" s9"3234"/><v/></c><cT088S3102" t="str"><f t="shared" s96"234"/><v/></c><c2088S3 02" t="str"><f t="shared" s9="237"/><v/></c><c r88S3102" t="str"><f t="shared" s983234"/><v/></c><ce0288B3192" s="3" t="str"><f t="shared" s9B3234"/><v/></c><cef=88S3102" t="str"><f t="shared" s9="239"/><v/></c></row><row 883" spans="19:2S31x14ac:dyDescen02"0.2="></c><c20883"19=""3102" t="str"><f t="shared" s9"3234"/><v/></c><cT0883"102" t="str"><f t="shared" s96"234"/><v/></c><c20883" 02" t="str"><f t="shared" s9="237"/><v/></c><c r883"102" t="str"><f t="shared" s983234"/><v/></c><ce02883" s="3"102" t="str"><f t="shared" s9B3234"/><v/></c><cef=883"102" t="str"><f t="shared" s9="239"/><v/></c></row><row 88"3204" spans="19:29" x14ac:dyDescent="0.25"><c r88B319=""3102" t="str"><f t="shared" s9"3234"/><v/></c><cT088B3102" t="str"><f t="shared" s96"234"/><v/></c><c2088B3102" t="str"><f t="shared" s9="237"/><v/></c><c r88B3102" t="str"><f t="shared" s983234"/><v/></c><ce0288B3204" s="3" t="str"><f t="shared" s9B3234"/><v/></c><cef=88B3102" t="str"><f t="shared" s9="239"/><v/></c></row><row 88"3205" spans="19:29" x14ac:dyDescent="0.25"><c r88"319=""3102" t="str"><f t="shared" s9"3234"/><v/></c><cT088"3102" t="str"><f t="shared" s96"234"/><v/></c><c2088"3102" t="str"><f t="shared" s9="237"/><v/></c><c r88"3102" t="str"><f t="shared" s983234"/><v/></c><ce0288B3205"S3102" t="str"><f t="shared" s9B3234"/><v/></c><cef=88"3102" t="str"><f t="shared" s9="239"/><v/></c></row><row 88"3206" spans="19:29" x14ac:dyDescent="0.25"><c r88"320=""3102" t="str"><f t="shared" s9"3234"/><v/></c><cT088"3202" t="str"><f t="shared" s96"234"/><v/></c><c2088"3202" t="str"><f t="shared" s9="237"/><v/></c><c r88"3202" t="str"><f t="shared" s983234"/><v/></c><ce0288"320="3"102" t="str"><f t="shared" s9B3234"/><v/></c><cef=88"3202" t="str"><f t="shared" s9="239"/><v/></c></row><row 88"3207" spans="19:29" x14ac:dyDescent="0.25"><c r88"320=""3102" t="str"><f t="shared" s9"3234"/><v/></c><cT088"3202" t="str"><f t="shared" s96"234"/><v/></c><c2088"3202" t="str"><f t="shared" s9="237"/><v/></c><c r88"3202" t="str"><f t="shared" s983234"/><v/></c><ce0288"320="3"102" t="str"><f t="shared" s9B3234"/><v/></c><cef=88"3202" t="str"><f t="shared" s9="239"/><v/></c></row><row 88"3208" spans="19:29" x14ac:dyDescent="0.25"><c r88"320=""3102" t="str"><f t="shared" s9"3234"/><v/></c><cT088"3202" t="str"><f t="shared" s96"234"/><v/></c><c2088"3202" t="str"><f t="shared" s9="237"/><v/></c><c r88"3202" t="str"><f t="shared" s983234"/><v/></c><ce0288"320="3"102" t="str"><f t="shared" s9B3234"/><v/></c><cef=88"3202" t="str"><f t="shared" s9="239"/><v/></c></row><row 88"31span0="19:2"31x14ac:dyDescen02"0.2"3></c><c2088"319=""3102" t="str"><f t="shared" s9"3234"/><v/></c><cT088"3102" t="str"><f t="shared" s96"234"/><v/></c><c2088"3102" t="str"><f t="shared" s9="237"/><v/></c><c r88"3102" t="str"><f t="shared" s983234"/><v/></c><ce0288"319="3"102" t="str"><f t="shared" s9B3234"/><v/></c><cef=88"3102" t="str"><f t="shared" s9="239"/><v/></c></row><row 89031span0="19:2"31x14ac:dyDescen02"0.2"3></c><c2089031s=""3102" t="str"><f t="shared" s9"3234"/><v/></c><cT08903102" t="str"><f t="shared" s96"234"/><v/></c><c208903102" t="str"><f t="shared" s9="237"/><v/></c><c r8903102" t="str"><f t="shared" s983234"/><v/></c><ce0289031s="3" 02" t="str"><f t="shared" s9B3234"/><v/></c><cef=8903102" t="str"><f t="shared" s9="239"/><v/></c></row><row 89S31span0="19:2"31x14ac:dyDescen02"0.2"3></c><c20891319=""3102" t="str"><f t="shared" s9"3234"/><v/></c><cT08913102" t="str"><f t="shared" s96"234"/><v/></c><c2089S3102" t="str"><f t="shared" s9="237"/><v/></c><c r8913102" t="str"><f t="shared" s983234"/><v/></c><ce0289B3201" s="3" t="str"><f t="shared" s9B3234"/><v/></c><cef=8913102" t="str"><f t="shared" s9="239"/><v/></c></row><row 89S3 spans="19:2S31x14ac:dyDescen02"0.2="></c><c2089S319=""3102" t="str"><f t="shared" s9"3234"/><v/></c><cT089S3102" t="str"><f t="shared" s96"234"/><v/></c><c2089S3 02" t="str"><f t="shared" s9="237"/><v/></c><c r89S3102" t="str"><f t="shared" s983234"/><v/></c><ce0289B3192" s="3" t="str"><f t="shared" s9B3234"/><v/></c><cef=89S3102" t="str"><f t="shared" s9="239"/><v/></c></row><row 893" spans="19:2S31x14ac:dyDescen02"0.2="></c><c20893"19=""3102" t="str"><f t="shared" s9"3234"/><v/></c><cT0893"102" t="str"><f t="shared" s96"234"/><v/></c><c20893" 02" t="str"><f t="shared" s9="237"/><v/></c><c r893"102" t="str"><f t="shared" s983234"/><v/></c><ce02893" s="3"102" t="str"><f t="shared" s9B3234"/><v/></c><cef=893"102" t="str"><f t="shared" s9="239"/><v/></c></row><row 89"3204" spans="19:29" x14ac:dyDescent="0.25"><c r89B3 s=""3102" t="str"><f t="shared" s9"3234"/><v/></c><cT089B3102" t="str"><f t="shared" s96"234"/><v/></c><c2089B3 02" t="str"><f t="shared" s9="237"/><v/></c><c r89B3 02" t="str"><f t="shared" s983234"/><v/></c><ce0289B3204" s="3" t="str"><f t="shared" s9B3234"/><v/></c><cef=89B3 02" t="str"><f t="shared" s9="239"/><v/></c></row><row 89"3205" spans="19:29" x14ac:dyDescent="0.25"><c r89"3 s=""3102" t="str"><f t="shared" s9"3234"/><v/></c><cT089"3102" t="str"><f t="shared" s96"234"/><v/></c><c2089"3 02" t="str"><f t="shared" s9="237"/><v/></c><c r89"3 02" t="str"><f t="shared" s983234"/><v/></c><ce0289B3205"S3102" t="str"><f t="shared" s9B3234"/><v/></c><cef=89"3 02" t="str"><f t="shared" s9="239"/><v/></c></row><row 89"3206" spans="19:29" x14ac:dyDescent="0.25"><c r89"320=""3102" t="str"><f t="shared" s9"3234"/><v/></c><cT089"3202" t="str"><f t="shared" s96"234"/><v/></c><c2089"3202" t="str"><f t="shared" s9="237"/><v/></c><c r89"3202" t="str"><f t="shared" s983234"/><v/></c><ce0289"320="3"102" t="str"><f t="shared" s9B3234"/><v/></c><cef=89"3202" t="str"><f t="shared" s9="239"/><v/></c></row><row 89"3207" spans="19:29" x14ac:dyDescent="0.25"><c r89"320=""3102" t="str"><f t="shared" s9"3234"/><v/></c><cT089"3202" t="str"><f t="shared" s96"234"/><v/></c><c2089"3202" t="str"><f t="shared" s9="237"/><v/></c><c r89"3202" t="str"><f t="shared" s983234"/><v/></c><ce0289"320="3"102" t="str"><f t="shared" s9B3234"/><v/></c><cef=89"3202" t="str"><f t="shared" s9="239"/><v/></c></row><row 89"3208" spans="19:29" x14ac:dyDescent="0.25"><c r89"320=""3102" t="str"><f t="shared" s9"3234"/><v/></c><cT089"3202" t="str"><f t="shared" s96"234"/><v/></c><c2089"3202" t="str"><f t="shared" s9="237"/><v/></c><c r89"3202" t="str"><f t="shared" s983234"/><v/></c><ce0289"320="3"102" t="str"><f t="shared" s9B3234"/><v/></c><cef=89"3202" t="str"><f t="shared" s9="239"/><v/></c></row><row 89"31span0="19:2"31x14ac:dyDescen02"0.2"3></c><c2089"319=""3102" t="str"><f t="shared" s9"3234"/><v/></c><cT089"3102" t="str"><f t="shared" s96"234"/><v/></c><c2089"3102" t="str"><f t="shared" s9="237"/><v/></c><c r89"3102" t="str"><f t="shared" s983234"/><v/></c><ce0289"319="3"102" t="str"><f t="shared" s9B3234"/><v/></c><cef=89"3102" t="str"><f t="shared" s9="239"/><v/></c></row><row 90031span0="19:2"31x14ac:dyDescen02"0.2"3></c><c2090031s=""3102" t="str"><f t="shared" s9"3234"/><v/></c><cT09003102" t="str"><f t="shared" s96"234"/><v/></c><c209003102" t="str"><f t="shared" s9="237"/><v/></c><c r9003102" t="str"><f t="shared" s983234"/><v/></c><ce0290031s="3" 02" t="str"><f t="shared" s9B3234"/><v/></c><cef=9003102" t="str"><f t="shared" s9="239"/><v/></c></row><row 90S31span0="19:2"31x14ac:dyDescen02"0.2"3></c><c20901319=""3102" t="str"><f t="shared" s9"3234"/><v/></c><cT09013102" t="str"><f t="shared" s96"234"/><v/></c><c2090S3102" t="str"><f t="shared" s9="237"/><v/></c><c r9013102" t="str"><f t="shared" s983234"/><v/></c><ce0290B3201" s="3" t="str"><f t="shared" s9B3234"/><v/></c><cef=9013102" t="str"><f t="shared" s9="239"/><v/></c></row><row 90S3 spans="19:2S31x14ac:dyDescen02"0.2="></c><c2090S319=""3102" t="str"><f t="shared" s9"3234"/><v/></c><cT090S3102" t="str"><f t="shared" s96"234"/><v/></c><c2090S3 02" t="str"><f t="shared" s9="237"/><v/></c><c r90S3102" t="str"><f t="shared" s983234"/><v/></c><ce0290B3192" s="3" t="str"><f t="shared" s9B3234"/><v/></c><cef=90S3102" t="str"><f t="shared" s9="239"/><v/></c></row><row 903" spans="19:2S31x14ac:dyDescen02"0.2="></c><c20903"19=""3102" t="str"><f t="shared" s9"3234"/><v/></c><cT0903"102" t="str"><f t="shared" s96"234"/><v/></c><c20903" 02" t="str"><f t="shared" s9="237"/><v/></c><c r903"102" t="str"><f t="shared" s983234"/><v/></c><ce02903" s="3"102" t="str"><f t="shared" s9B3234"/><v/></c><cef=903"102" t="str"><f t="shared" s9="239"/><v/></c></row><row 90"3204" spans="19:29" x14ac:dyDescent="0.25"><c r90B3 s=""3102" t="str"><f t="shared" s9"3234"/><v/></c><cT090B3 02" t="str"><f t="shared" s96"234"/><v/></c><c2090B3 02" t="str"><f t="shared" s9="237"/><v/></c><c r90B3 02" t="str"><f t="shared" s983234"/><v/></c><ce0290B3204" s="3" t="str"><f t="shared" s9B3234"/><v/></c><cef=90B3 02" t="str"><f t="shared" s9="239"/><v/></c></row><row 90"3205" spans="19:29" x14ac:dyDescent="0.25"><c r90"319=""3102" t="str"><f t="shared" s9"3234"/><v/></c><cT090"3102" t="str"><f t="shared" s96"234"/><v/></c><c2090"3102" t="str"><f t="shared" s9="237"/><v/></c><c r90"3102" t="str"><f t="shared" s983234"/><v/></c><ce0290B3205"S3102" t="str"><f t="shared" s9B3234"/><v/></c><cef=90"3102" t="str"><f t="shared" s9="239"/><v/></c></row><row 90"3206" spans="19:29" x14ac:dyDescent="0.25"><c r90"320=""3102" t="str"><f t="shared" s9"3234"/><v/></c><cT090"3202" t="str"><f t="shared" s96"234"/><v/></c><c2090"3202" t="str"><f t="shared" s9="237"/><v/></c><c r90"3202" t="str"><f t="shared" s983234"/><v/></c><ce0290"320="3"102" t="str"><f t="shared" ref=90"320296"3196" 3003>IF(ISBLANK(0290"3202),"", "10")</f><v/></c><c r=90"3202" t="str"><f t="shared" s9="239"/><v/></c></row><row 90"3207" spans="19:29" x14ac:dyDescent="0.25"><c r90"320=""3102" t="str"><f t="shared" ref90"32097031s6" 3013>IF(ISBLANK(029073203),"90"3203 )</f><v/></c><c r90"3202" t="str"><f t="shared" ref90"3T097031s6" 3023>IF(ISBLANK(029073203),"90"3203 )</f><v/></c><c2090"3202" t="str"><f t="shared" r2090"32097031s6" 3033>IF(ISBLANK(029073203),"90"3203 )</f><v/></c><c2090"3202" t="str"><f t="shared" r2090"32097031s6" 30B3>IF(ISBLANK(0290"3202),"SHOP_SKU")</f><v234/c></c><c20290"320="3" 02" t="str"><f t="shared" 3003234"/><v/></c><cef=90"3202" t="str"><f t="shared" ref=9073ef=97031s6" 3053>IF(ISBLANK(0290"3202),"", "New")</f><v/></c></row><row 90"3208" spans="19:29" x14ac:dyDescent="0.25"><c r90"320=""3102" t="str"><f t="shared" 3013234"/><v/></c><cT090"3202" t="str"><f t="shared" 30S3234"/><v/></c><c2090"3202" t="str"><f t="shared" 303"234"/><v/></c><c2090"3202" t="str"><f t="shared" 30B3234"/><v/></c><ce0290"320="3"102" t="str"><f t="shared" 3003234"/><v/></c><cef=90"3202" t="str"><f t="shared" 30"3234"/><v/></c></row><row 90"31span0="19:2"31x14ac:dyDescen02"0.2"3></c><c2090"31s=""3102" t="str"><f t="shared" 3013234"/><v/></c><cT090"3102" t="str"><f t="shared" 30S3234"/><v/></c><c2090"3102" t="str"><f t="shared" 303"234"/><v/></c><c2090"3102" t="str"><f t="shared" 30B3234"/><v/></c><ce0290"319="3"102" t="str"><f t="shared" 3003234"/><v/></c><cef=90"3102" t="str"><f t="shared" 30"3234"/><v/></c></row><row 91031span0="19:2"31x14ac:dyDescen02"0.2"3></c><c2091031s=""3102" t="str"><f t="shared" 3013234"/><v/></c><cT09103102" t="str"><f t="shared" 30S3234"/><v/></c><c209103102" t="str"><f t="shared" 303"234"/><v/></c><c209103102" t="str"><f t="shared" 30B3234"/><v/></c><ce0291031s="3" 02" t="str"><f t="shared" 3003234"/><v/></c><cef=9103102" t="str"><f t="shared" 30"3234"/><v/></c></row><row 91S31span0="19:2"31x14ac:dyDescen02"0.2"3></c><c20911319=""3102" t="str"><f t="shared" 3013234"/><v/></c><cT09113102" t="str"><f t="shared" 30S3234"/><v/></c><c209113102" t="str"><f t="shared" 303"234"/><v/></c><c209113102" t="str"><f t="shared" 30B3234"/><v/></c><ce0291B3201" s="3" t="str"><f t="shared" 3003234"/><v/></c><cef=9113102" t="str"><f t="shared" 30"3234"/><v/></c></row><row 91S3 spans="19:2S31x14ac:dyDescen02"0.2="></c><c2091S319=""3102" t="str"><f t="shared" 3013234"/><v/></c><cT091S3 02" t="str"><f t="shared" 30S3234"/><v/></c><c2091S3102" t="str"><f t="shared" 303"234"/><v/></c><c2091S3102" t="str"><f t="shared" 30B3234"/><v/></c><ce0291B3192" s="3" t="str"><f t="shared" 3003234"/><v/></c><cef=91S3102" t="str"><f t="shared" 30"3234"/><v/></c></row><row 913" spans="19:2S31x14ac:dyDescen02"0.2="></c><c20913"19=""3102" t="str"><f t="shared" 3013234"/><v/></c><cT0913" 02" t="str"><f t="shared" 30S3234"/><v/></c><c20913"102" t="str"><f t="shared" 303"234"/><v/></c><c20913"102" t="str"><f t="shared" 30B3234"/><v/></c><ce02913" s="3"102" t="str"><f t="shared" 3003234"/><v/></c><cef=913"102" t="str"><f t="shared" 30"3234"/><v/></c></row><row 91"3204" spans="19:29" x14ac:dyDescent="0.25"><c r91B3 s=""3102" t="str"><f t="shared" 3013234"/><v/></c><cT091B3 02" t="str"><f t="shared" 30S3234"/><v/></c><c2091B3 02" t="str"><f t="shared" 303"234"/><v/></c><c2091B3 02" t="str"><f t="shared" 30B3234"/><v/></c><ce0291B3204" s="3" t="str"><f t="shared" 3003234"/><v/></c><cef=91B3 02" t="str"><f t="shared" 30"3234"/><v/></c></row><row 91"3205" spans="19:29" x14ac:dyDescent="0.25"><c r91"3 s=""3102" t="str"><f t="shared" 3013234"/><v/></c><cT091"3102" t="str"><f t="shared" 30S3234"/><v/></c><c2091"3102" t="str"><f t="shared" 303"234"/><v/></c><c2091"3102" t="str"><f t="shared" 30B3234"/><v/></c><ce0291B3205"S3102" t="str"><f t="shared" 3003234"/><v/></c><cef=91"3102" t="str"><f t="shared" 30"3234"/><v/></c></row><row 91"3206" spans="19:29" x14ac:dyDescent="0.25"><c r91"320=""3102" t="str"><f t="shared" 3013234"/><v/></c><cT091"3202" t="str"><f t="shared" 30S3234"/><v/></c><c2091"3202" t="str"><f t="shared" 303"234"/><v/></c><c2091"3202" t="str"><f t="shared" 30B3234"/><v/></c><ce0291"320="3"102" t="str"><f t="shared" 3003234"/><v/></c><cef=91"3202" t="str"><f t="shared" 30"3234"/><v/></c></row><row 91"3207" spans="19:29" x14ac:dyDescent="0.25"><c r91"320=""3102" t="str"><f t="shared" 3013234"/><v/></c><cT091"3202" t="str"><f t="shared" 30S3234"/><v/></c><c2091"3202" t="str"><f t="shared" 303"234"/><v/></c><c2091"3202" t="str"><f t="shared" 30B3234"/><v/></c><ce0291"320="3"102" t="str"><f t="shared" 3003234"/><v/></c><cef=91"3202" t="str"><f t="shared" 30"3234"/><v/></c></row><row 91"3208" spans="19:29" x14ac:dyDescent="0.25"><c r91"320=""3102" t="str"><f t="shared" 3013234"/><v/></c><cT091"3202" t="str"><f t="shared" 30S3234"/><v/></c><c2091"3202" t="str"><f t="shared" 303"234"/><v/></c><c2091"3202" t="str"><f t="shared" 30B3234"/><v/></c><ce0291"320="3"102" t="str"><f t="shared" 3003234"/><v/></c><cef=91"3202" t="str"><f t="shared" 30"3234"/><v/></c></row><row 91"31span0="19:2"31x14ac:dyDescen02"0.2"3></c><c2091"319=""3102" t="str"><f t="shared" 3013234"/><v/></c><cT091"3102" t="str"><f t="shared" 30S3234"/><v/></c><c2091"3102" t="str"><f t="shared" 303"234"/><v/></c><c2091"3102" t="str"><f t="shared" 30B3234"/><v/></c><ce0291"319="3" 02" t="str"><f t="shared" 3003234"/><v/></c><cef=91"3102" t="str"><f t="shared" 30"3234"/><v/></c></row><row 92031span0="19:2"31x14ac:dyDescen02"0.2"3></c><c2092031s=""3102" t="str"><f t="shared" 3013234"/><v/></c><cT09203102" t="str"><f t="shared" 30S3234"/><v/></c><c209203102" t="str"><f t="shared" 303"234"/><v/></c><c209203102" t="str"><f t="shared" 30B3234"/><v/></c><ce0292031s="3" 02" t="str"><f t="shared" 3003234"/><v/></c><cef=9203102" t="str"><f t="shared" 30"3234"/><v/></c></row><row 92S31span0="19:2"31x14ac:dyDescen02"0.2"3></c><c2092S31s=""3102" t="str"><f t="shared" 3013234"/><v/></c><cT09213102" t="str"><f t="shared" 30S3234"/><v/></c><c2092S3102" t="str"><f t="shared" 303"234"/><v/></c><c2092S3102" t="str"><f t="shared" 30B3234"/><v/></c><ce0292B3201" s="3" t="str"><f t="shared" 3003234"/><v/></c><cef=92S3102" t="str"><f t="shared" 30"3234"/><v/></c></row><row 92S3 spans="19:2S31x14ac:dyDescen02"0.2="></c><c2092S319=""3102" t="str"><f t="shared" 3013234"/><v/></c><cT092S3102" t="str"><f t="shared" 30S3234"/><v/></c><c2092S3102" t="str"><f t="shared" 303"234"/><v/></c><c2092S3102" t="str"><f t="shared" 30B3234"/><v/></c><ce0292B3192" s="3" t="str"><f t="shared" 3003234"/><v/></c><cef=92S3102" t="str"><f t="shared" 30"3234"/><v/></c></row><row 923" spans="19:2S31x14ac:dyDescen02"0.2="></c><c20923"19=""3102" t="str"><f t="shared" 3013234"/><v/></c><cT0923"102" t="str"><f t="shared" 30S3234"/><v/></c><c20923"102" t="str"><f t="shared" 303"234"/><v/></c><c20923"102" t="str"><f t="shared" 30B3234"/><v/></c><ce02923" s="3"102" t="str"><f t="shared" 3003234"/><v/></c><cef=923"102" t="str"><f t="shared" 30"3234"/><v/></c></row><row 92"3204" spans="19:29" x14ac:dyDescent="0.25"><c r92B3 s=""3102" t="str"><f t="shared" 3013234"/><v/></c><cT092B3 02" t="str"><f t="shared" 30S3234"/><v/></c><c2092B3 02" t="str"><f t="shared" 303"234"/><v/></c><c2092B3 02" t="str"><f t="shared" 30B3234"/><v/></c><ce0292B3204" s="3" t="str"><f t="shared" 3003234"/><v/></c><cef=92B3 02" t="str"><f t="shared" 30"3234"/><v/></c></row><row 92"3205" spans="19:29" x14ac:dyDescent="0.25"><c r92"3 s=""3102" t="str"><f t="shared" 3013234"/><v/></c><cT092"3 02" t="str"><f t="shared" 30S3234"/><v/></c><c2092"3102" t="str"><f t="shared" 303"234"/><v/></c><c2092"3 02" t="str"><f t="shared" 30B3234"/><v/></c><ce0292B3205"S3102" t="str"><f t="shared" 3003234"/><v/></c><cef=92"3 02" t="str"><f t="shared" 30"3234"/><v/></c></row><row 92"3206" spans="19:29" x14ac:dyDescent="0.25"><c r92"320=""3102" t="str"><f t="shared" 3013234"/><v/></c><cT092"3202" t="str"><f t="shared" 30S3234"/><v/></c><c2092"3202" t="str"><f t="shared" 303"234"/><v/></c><c2092"3202" t="str"><f t="shared" 30B3234"/><v/></c><ce0292"320="3"102" t="str"><f t="shared" 3003234"/><v/></c><cef=92"3202" t="str"><f t="shared" 30"3234"/><v/></c></row><row 92"3207" spans="19:29" x14ac:dyDescent="0.25"><c r92"320=""3102" t="str"><f t="shared" 3013234"/><v/></c><cT092"3202" t="str"><f t="shared" 30S3234"/><v/></c><c2092"3202" t="str"><f t="shared" 303"234"/><v/></c><c2092"3202" t="str"><f t="shared" 30B3234"/><v/></c><ce0292"320="3"102" t="str"><f t="shared" 3003234"/><v/></c><cef=92"3202" t="str"><f t="shared" 30"3234"/><v/></c></row><row 92"3208" spans="19:29" x14ac:dyDescent="0.25"><c r92"320=""3102" t="str"><f t="shared" 3013234"/><v/></c><cT092"3202" t="str"><f t="shared" 30S3234"/><v/></c><c2092"3202" t="str"><f t="shared" 303"234"/><v/></c><c2092"3202" t="str"><f t="shared" 30B3234"/><v/></c><ce0292"320="3"102" t="str"><f t="shared" 3003234"/><v/></c><cef=92"3202" t="str"><f t="shared" 30"3234"/><v/></c></row><row 92"31span0="19:2"31x14ac:dyDescen02"0.2"3></c><c2092"319=""3102" t="str"><f t="shared" 3013234"/><v/></c><cT092"3102" t="str"><f t="shared" 30S3234"/><v/></c><c2092"3102" t="str"><f t="shared" 303"234"/><v/></c><c2092"3102" t="str"><f t="shared" 30B3234"/><v/></c><ce0292"319="3"102" t="str"><f t="shared" 3003234"/><v/></c><cef=92"3102" t="str"><f t="shared" 30"3234"/><v/></c></row><row 93031span0="19:2"31x14ac:dyDescen02"0.2"3></c><c2093031s=""3102" t="str"><f t="shared" 3013234"/><v/></c><cT09303102" t="str"><f t="shared" 30S3234"/><v/></c><c209303102" t="str"><f t="shared" 303"234"/><v/></c><c209303102" t="str"><f t="shared" 30B3234"/><v/></c><ce0293031s="3" 02" t="str"><f t="shared" 3003234"/><v/></c><cef=9303102" t="str"><f t="shared" 30"3234"/><v/></c></row><row 93S31span0="19:2"31x14ac:dyDescen02"0.2"3></c><c20931319=""3102" t="str"><f t="shared" 3013234"/><v/></c><cT09313102" t="str"><f t="shared" 30S3234"/><v/></c><c2093S3102" t="str"><f t="shared" 303"234"/><v/></c><c209313102" t="str"><f t="shared" 30B3234"/><v/></c><ce0293B3201" s="3" t="str"><f t="shared" 3003234"/><v/></c><cef=9313102" t="str"><f t="shared" 30"3234"/><v/></c></row><row 93S3 spans="19:2S31x14ac:dyDescen02"0.2="></c><c2093S319=""3102" t="str"><f t="shared" 3013234"/><v/></c><cT093S3102" t="str"><f t="shared" 30S3234"/><v/></c><c2093S3102" t="str"><f t="shared" 303"234"/><v/></c><c2093S3102" t="str"><f t="shared" 30B3234"/><v/></c><ce0293B3192" s="3" t="str"><f t="shared" 3003234"/><v/></c><cef=93S3102" t="str"><f t="shared" 30"3234"/><v/></c></row><row 933" spans="19:2S31x14ac:dyDescen02"0.2="></c><c20933"19=""3102" t="str"><f t="shared" 3013234"/><v/></c><cT0933"102" t="str"><f t="shared" 30S3234"/><v/></c><c20933"102" t="str"><f t="shared" 303"234"/><v/></c><c20933"102" t="str"><f t="shared" 30B3234"/><v/></c><ce02933" s="3"102" t="str"><f t="shared" 3003234"/><v/></c><cef=933"102" t="str"><f t="shared" 30"3234"/><v/></c></row><row 93"3204" spans="19:29" x14ac:dyDescent="0.25"><c r93B3 s=""3102" t="str"><f t="shared" 3013234"/><v/></c><cT093B3 02" t="str"><f t="shared" 30S3234"/><v/></c><c2093B3 02" t="str"><f t="shared" 303"234"/><v/></c><c2093B3 02" t="str"><f t="shared" 30B3234"/><v/></c><ce0293B3204" s="3" t="str"><f t="shared" 3003234"/><v/></c><cef=93B3 02" t="str"><f t="shared" 30"3234"/><v/></c></row><row 93"3205" spans="19:29" x14ac:dyDescent="0.25"><c r93"3 s=""3102" t="str"><f t="shared" 3013234"/><v/></c><cT093"3 02" t="str"><f t="shared" 30S3234"/><v/></c><c2093"3102" t="str"><f t="shared" 303"234"/><v/></c><c2093"3 02" t="str"><f t="shared" 30B3234"/><v/></c><ce0293B3205"S3102" t="str"><f t="shared" 3003234"/><v/></c><cef=93"3 02" t="str"><f t="shared" 30"3234"/><v/></c></row><row 93"3206" spans="19:29" x14ac:dyDescent="0.25"><c r93"320=""3102" t="str"><f t="shared" 3013234"/><v/></c><cT093"3202" t="str"><f t="shared" 30S3234"/><v/></c><c2093"3202" t="str"><f t="shared" 303"234"/><v/></c><c2093"3202" t="str"><f t="shared" 30B3234"/><v/></c><ce0293"320="3"102" t="str"><f t="shared" 3003234"/><v/></c><cef=93"3202" t="str"><f t="shared" 30"3234"/><v/></c></row><row 93"3207" spans="19:29" x14ac:dyDescent="0.25"><c r93"320=""3102" t="str"><f t="shared" 3013234"/><v/></c><cT093"3202" t="str"><f t="shared" 30S3234"/><v/></c><c2093"3202" t="str"><f t="shared" 303"234"/><v/></c><c2093"3202" t="str"><f t="shared" 30B3234"/><v/></c><ce0293"320="3"102" t="str"><f t="shared" 3003234"/><v/></c><cef=93"3202" t="str"><f t="shared" 30"3234"/><v/></c></row><row 93"3208" spans="19:29" x14ac:dyDescent="0.25"><c r93"320=""3102" t="str"><f t="shared" 3013234"/><v/></c><cT093"3202" t="str"><f t="shared" 30S3234"/><v/></c><c2093"3202" t="str"><f t="shared" 303"234"/><v/></c><c2093"3202" t="str"><f t="shared" 30B3234"/><v/></c><ce0293"320="3"102" t="str"><f t="shared" 3003234"/><v/></c><cef=93"3202" t="str"><f t="shared" 30"3234"/><v/></c></row><row 93"31span0="19:2"31x14ac:dyDescen02"0.2"3></c><c2093"319=""3102" t="str"><f t="shared" 3013234"/><v/></c><cT093"3102" t="str"><f t="shared" 30S3234"/><v/></c><c2093"3102" t="str"><f t="shared" 303"234"/><v/></c><c2093"3102" t="str"><f t="shared" 30B3234"/><v/></c><ce0293"319="3"102" t="str"><f t="shared" 3003234"/><v/></c><cef=93"3102" t="str"><f t="shared" 30"3234"/><v/></c></row><row 94031span0="19:2"31x14ac:dyDescen02"0.2"3></c><c2094031s=""3102" t="str"><f t="shared" 3013234"/><v/></c><cT09403102" t="str"><f t="shared" 30S3234"/><v/></c><c209403102" t="str"><f t="shared" 303"234"/><v/></c><c209403102" t="str"><f t="shared" 30B3234"/><v/></c><ce0294031s="3" 02" t="str"><f t="shared" 3003234"/><v/></c><cef=9403102" t="str"><f t="shared" 30"3234"/><v/></c></row><row 94S31span0="19:2"31x14ac:dyDescen02"0.2"3></c><c20941319=""3102" t="str"><f t="shared" 3013234"/><v/></c><cT09413102" t="str"><f t="shared" 30S3234"/><v/></c><c2094S3102" t="str"><f t="shared" 303"234"/><v/></c><c209413102" t="str"><f t="shared" 30B3234"/><v/></c><ce0294B3201" s="3" t="str"><f t="shared" 3003234"/><v/></c><cef=9413102" t="str"><f t="shared" 30"3234"/><v/></c></row><row 94S3 spans="19:2S31x14ac:dyDescen02"0.2="></c><c2094S319=""3102" t="str"><f t="shared" 3013234"/><v/></c><cT094S3102" t="str"><f t="shared" 30S3234"/><v/></c><c2094S3102" t="str"><f t="shared" 303"234"/><v/></c><c2094S3102" t="str"><f t="shared" 30B3234"/><v/></c><ce0294B3192" s="3" t="str"><f t="shared" 3003234"/><v/></c><cef=94S3102" t="str"><f t="shared" 30"3234"/><v/></c></row><row 943" spans="19:2S31x14ac:dyDescen02"0.2="></c><c20943"19=""3102" t="str"><f t="shared" 3013234"/><v/></c><cT0943"102" t="str"><f t="shared" 30S3234"/><v/></c><c20943"102" t="str"><f t="shared" 303"234"/><v/></c><c20943"102" t="str"><f t="shared" 30B3234"/><v/></c><ce02943" s="3"102" t="str"><f t="shared" 3003234"/><v/></c><cef=943"102" t="str"><f t="shared" 30"3234"/><v/></c></row><row 94"3204" spans="19:29" x14ac:dyDescent="0.25"><c r94B3 s=""3102" t="str"><f t="shared" 3013234"/><v/></c><cT094B3 02" t="str"><f t="shared" 30S3234"/><v/></c><c2094B3 02" t="str"><f t="shared" 303"234"/><v/></c><c2094B3 02" t="str"><f t="shared" 30B3234"/><v/></c><ce0294B3204" s="3" t="str"><f t="shared" 3003234"/><v/></c><cef=94B3 02" t="str"><f t="shared" 30"3234"/><v/></c></row><row 94"3205" spans="19:29" x14ac:dyDescent="0.25"><c r94"3 s=""3102" t="str"><f t="shared" 3013234"/><v/></c><cT094"3 02" t="str"><f t="shared" 30S3234"/><v/></c><c2094"3102" t="str"><f t="shared" 303"234"/><v/></c><c2094"3 02" t="str"><f t="shared" 30B3234"/><v/></c><ce0294B3205"S3102" t="str"><f t="shared" 3003234"/><v/></c><cef=94"3 02" t="str"><f t="shared" 30"3234"/><v/></c></row><row 94"3206" spans="19:29" x14ac:dyDescent="0.25"><c r94"320=""3102" t="str"><f t="shared" 3013234"/><v/></c><cT094"3202" t="str"><f t="shared" 30S3234"/><v/></c><c2094"3202" t="str"><f t="shared" 303"234"/><v/></c><c2094"3202" t="str"><f t="shared" 30B3234"/><v/></c><ce0294"320="3"102" t="str"><f t="shared" 3003234"/><v/></c><cef=94"3202" t="str"><f t="shared" 30"3234"/><v/></c></row><row 94"3207" spans="19:29" x14ac:dyDescent="0.25"><c r94"320=""3102" t="str"><f t="shared" 3013234"/><v/></c><cT094"3202" t="str"><f t="shared" 30S3234"/><v/></c><c2094"3202" t="str"><f t="shared" 303"234"/><v/></c><c2094"3202" t="str"><f t="shared" 30B3234"/><v/></c><ce0294"320="3"102" t="str"><f t="shared" 3003234"/><v/></c><cef=94"3202" t="str"><f t="shared" 30"3234"/><v/></c></row><row 94"3208" spans="19:29" x14ac:dyDescent="0.25"><c r94"320=""3102" t="str"><f t="shared" 3013234"/><v/></c><cT094"3202" t="str"><f t="shared" 30S3234"/><v/></c><c2094"3202" t="str"><f t="shared" 303"234"/><v/></c><c2094"3202" t="str"><f t="shared" 30B3234"/><v/></c><ce0294"320="3"102" t="str"><f t="shared" 3003234"/><v/></c><cef=94"3202" t="str"><f t="shared" 30"3234"/><v/></c></row><row 94"31span0="19:2"31x14ac:dyDescen02"0.2"3></c><c2094"319=""3102" t="str"><f t="shared" 3013234"/><v/></c><cT094"3102" t="str"><f t="shared" 30S3234"/><v/></c><c2094"3102" t="str"><f t="shared" 303"234"/><v/></c><c2094"3102" t="str"><f t="shared" 30B3234"/><v/></c><ce0294"319="3"102" t="str"><f t="shared" 3003234"/><v/></c><cef=94"3102" t="str"><f t="shared" 30"3234"/><v/></c></row><row 95031span0="19:2"31x14ac:dyDescen02"0.2"3></c><c2095031s=""3102" t="str"><f t="shared" 3013234"/><v/></c><cT09503102" t="str"><f t="shared" 30S3234"/><v/></c><c209503102" t="str"><f t="shared" 303"234"/><v/></c><c209503102" t="str"><f t="shared" 30B3234"/><v/></c><ce0295031s="3" 02" t="str"><f t="shared" 3003234"/><v/></c><cef=9503102" t="str"><f t="shared" 30"3234"/><v/></c></row><row 95S31span0="19:2"31x14ac:dyDescen02"0.2"3></c><c20951319=""3102" t="str"><f t="shared" 3013234"/><v/></c><cT09513102" t="str"><f t="shared" 30S3234"/><v/></c><c2095S3102" t="str"><f t="shared" 303"234"/><v/></c><c209513102" t="str"><f t="shared" 30B3234"/><v/></c><ce0295B3201" s="3" t="str"><f t="shared" 3003234"/><v/></c><cef=9513102" t="str"><f t="shared" 30"3234"/><v/></c></row><row 95S3 spans="19:2S31x14ac:dyDescen02"0.2="></c><c2095S319=""3102" t="str"><f t="shared" 3013234"/><v/></c><cT095S3102" t="str"><f t="shared" 30S3234"/><v/></c><c2095S3102" t="str"><f t="shared" 303"234"/><v/></c><c2095S3102" t="str"><f t="shared" 30B3234"/><v/></c><ce0295B3192" s="3" t="str"><f t="shared" 3003234"/><v/></c><cef=95S3102" t="str"><f t="shared" 30"3234"/><v/></c></row><row 953" spans="19:2S31x14ac:dyDescen02"0.2="></c><c20953"19=""3102" t="str"><f t="shared" 3013234"/><v/></c><cT0953"102" t="str"><f t="shared" 30S3234"/><v/></c><c20953"102" t="str"><f t="shared" 303"234"/><v/></c><c20953"102" t="str"><f t="shared" 30B3234"/><v/></c><ce02953" s="3"102" t="str"><f t="shared" 3003234"/><v/></c><cef=953"102" t="str"><f t="shared" 30"3234"/><v/></c></row><row 95"3204" spans="19:29" x14ac:dyDescent="0.25"><c r95B3 s=""3102" t="str"><f t="shared" 3013234"/><v/></c><cT095B3 02" t="str"><f t="shared" 30S3234"/><v/></c><c2095B3 02" t="str"><f t="shared" 303"234"/><v/></c><c2095B3 02" t="str"><f t="shared" 30B3234"/><v/></c><ce0295B3204" s="3" t="str"><f t="shared" 3003234"/><v/></c><cef=95B3 02" t="str"><f t="shared" 30"3234"/><v/></c></row><row 95"3205" spans="19:29" x14ac:dyDescent="0.25"><c r95"3 s=""3102" t="str"><f t="shared" 3013234"/><v/></c><cT095"3 02" t="str"><f t="shared" 30S3234"/><v/></c><c2095"3102" t="str"><f t="shared" 303"234"/><v/></c><c2095"3 02" t="str"><f t="shared" 30B3234"/><v/></c><ce0295B3205"S3102" t="str"><f t="shared" 3003234"/><v/></c><cef=95"3 02" t="str"><f t="shared" 30"3234"/><v/></c></row><row 95"3206" spans="19:29" x14ac:dyDescent="0.25"><c r95"320=""3102" t="str"><f t="shared" 3013234"/><v/></c><cT095"3202" t="str"><f t="shared" 30S3234"/><v/></c><c2095"3202" t="str"><f t="shared" 303"234"/><v/></c><c2095"3202" t="str"><f t="shared" 30B3234"/><v/></c><ce0295"320="3"102" t="str"><f t="shared" 3003234"/><v/></c><cef=95"3202" t="str"><f t="shared" 30"3234"/><v/></c></row><row 95"3207" spans="19:29" x14ac:dyDescent="0.25"><c r95"320=""3102" t="str"><f t="shared" 3013234"/><v/></c><cT095"3202" t="str"><f t="shared" 30S3234"/><v/></c><c2095"3202" t="str"><f t="shared" 303"234"/><v/></c><c2095"3202" t="str"><f t="shared" 30B3234"/><v/></c><ce0295"320="3"102" t="str"><f t="shared" 3003234"/><v/></c><cef=95"3202" t="str"><f t="shared" 30"3234"/><v/></c></row><row 95"3208" spans="19:29" x14ac:dyDescent="0.25"><c r95"320=""3102" t="str"><f t="shared" 3013234"/><v/></c><cT095"3202" t="str"><f t="shared" 30S3234"/><v/></c><c2095"3202" t="str"><f t="shared" 303"234"/><v/></c><c2095"3202" t="str"><f t="shared" 30B3234"/><v/></c><ce0295"320="3"102" t="str"><f t="shared" 3003234"/><v/></c><cef=95"3202" t="str"><f t="shared" 30"3234"/><v/></c></row><row 95"31span0="19:2"31x14ac:dyDescen02"0.2"3></c><c2095"319=""3102" t="str"><f t="shared" 3013234"/><v/></c><cT095"3102" t="str"><f t="shared" 30S3234"/><v/></c><c2095"3102" t="str"><f t="shared" 303"234"/><v/></c><c2095"3102" t="str"><f t="shared" 30B3234"/><v/></c><ce0295"319="3"102" t="str"><f t="shared" 3003234"/><v/></c><cef=95"3102" t="str"><f t="shared" 30"3234"/><v/></c></row><row 96031span0="19:2"31x14ac:dyDescen02"0.2"3></c><c2096031s=""3102" t="str"><f t="shared" 3013234"/><v/></c><cT09603102" t="str"><f t="shared" 30S3234"/><v/></c><c209603102" t="str"><f t="shared" 303"234"/><v/></c><c209603102" t="str"><f t="shared" 30B3234"/><v/></c><ce0296031s="3" 02" t="str"><f t="shared" 3003234"/><v/></c><cef=9603102" t="str"><f t="shared" 30"3234"/><v/></c></row><row 96S31span0="19:2"31x14ac:dyDescen02"0.2"3></c><c20961319=""3102" t="str"><f t="shared" 3013234"/><v/></c><cT09613102" t="str"><f t="shared" 30S3234"/><v/></c><c2096S3102" t="str"><f t="shared" 303"234"/><v/></c><c209613102" t="str"><f t="shared" 30B3234"/><v/></c><ce0296B3201" s="3" t="str"><f t="shared" 3003234"/><v/></c><cef=9613102" t="str"><f t="shared" 30"3234"/><v/></c></row><row 96S3 spans="19:2S31x14ac:dyDescen02"0.2="></c><c2096S319=""3102" t="str"><f t="shared" 3013234"/><v/></c><cT096S3102" t="str"><f t="shared" 30S3234"/><v/></c><c2096S3102" t="str"><f t="shared" 303"234"/><v/></c><c2096S3102" t="str"><f t="shared" 30B3234"/><v/></c><ce0296B3192" s="3" t="str"><f t="shared" 3003234"/><v/></c><cef=96S3102" t="str"><f t="shared" 30"3234"/><v/></c></row><row 963" spans="19:2S31x14ac:dyDescen02"0.2="></c><c20963"19=""3102" t="str"><f t="shared" 3013234"/><v/></c><cT0963"102" t="str"><f t="shared" 30S3234"/><v/></c><c20963"102" t="str"><f t="shared" 303"234"/><v/></c><c20963"102" t="str"><f t="shared" 30B3234"/><v/></c><ce02963" s="3"102" t="str"><f t="shared" 3003234"/><v/></c><cef=963"102" t="str"><f t="shared" 30"3234"/><v/></c></row><row 96"3204" spans="19:29" x14ac:dyDescent="0.25"><c r96B3 s=""3102" t="str"><f t="shared" 3013234"/><v/></c><cT096B3 02" t="str"><f t="shared" 30S3234"/><v/></c><c2096B3 02" t="str"><f t="shared" 303"234"/><v/></c><c2096B3 02" t="str"><f t="shared" 30B3234"/><v/></c><ce0296B3204" s="3" t="str"><f t="shared" 3003234"/><v/></c><cef=96B3 02" t="str"><f t="shared" 30"3234"/><v/></c></row><row 96"3205" spans="19:29" x14ac:dyDescent="0.25"><c r96"3 s=""3102" t="str"><f t="shared" 3013234"/><v/></c><cT096"3 02" t="str"><f t="shared" 30S3234"/><v/></c><c2096"3102" t="str"><f t="shared" 303"234"/><v/></c><c2096"3 02" t="str"><f t="shared" 30B3234"/><v/></c><ce0296B3205"S3102" t="str"><f t="shared" 3003234"/><v/></c><cef=96"3 02" t="str"><f t="shared" 30"3234"/><v/></c></row><row 96"3206" spans="19:29" x14ac:dyDescent="0.25"><c r96"320=""3102" t="str"><f t="shared" 3013234"/><v/></c><cT096"3202" t="str"><f t="shared" 30S3234"/><v/></c><c2096"3202" t="str"><f t="shared" 303"234"/><v/></c><c2096"3202" t="str"><f t="shared" 30B3234"/><v/></c><ce0296"320="3"102" t="str"><f t="shared" 3003234"/><v/></c><cef=96"3202" t="str"><f t="shared" 30"3234"/><v/></c></row><row 96"3207" spans="19:29" x14ac:dyDescent="0.25"><c r96"320=""3102" t="str"><f t="shared" 3013234"/><v/></c><cT096"3202" t="str"><f t="shared" 30S3234"/><v/></c><c2096"3202" t="str"><f t="shared" 303"234"/><v/></c><c2096"3202" t="str"><f t="shared" 30B3234"/><v/></c><ce0296"320="3"102" t="str"><f t="shared" 3003234"/><v/></c><cef=96"3202" t="str"><f t="shared" 30"3234"/><v/></c></row><row 96"3208" spans="19:29" x14ac:dyDescent="0.25"><c r96"320=""3102" t="str"><f t="shared" 3013234"/><v/></c><cT096"3202" t="str"><f t="shared" 30S3234"/><v/></c><c2096"3202" t="str"><f t="shared" 303"234"/><v/></c><c2096"3202" t="str"><f t="shared" 30B3234"/><v/></c><ce0296"320="3"102" t="str"><f t="shared" 3003234"/><v/></c><cef=96"3202" t="str"><f t="shared" 30"3234"/><v/></c></row><row 96"31span0="19:2"31x14ac:dyDescen02"0.2"3></c><c2096"319=""3102" t="str"><f t="shared" 3013234"/><v/></c><cT096"3102" t="str"><f t="shared" 30S3234"/><v/></c><c2096"3102" t="str"><f t="shared" 303"234"/><v/></c><c2096"3102" t="str"><f t="shared" 30B3234"/><v/></c><ce0296"319="3"102" t="str"><f t="shared" 3003234"/><v/></c><cef=96"3102" t="str"><f t="shared" 30"3234"/><v/></c></row><row 97031spans="19:2"31x14ac:dyDescen02"0.2"3><c r="2097031s=""3102" t="str"><f t="shared" 3013234"/><v/></c><cT09703102" t="str"><f t="shared" 30S3234"/><v/></c><c209703102" t="str"><f t="shared" 303"234"/><v/></c><c209703102" t="str"><f t="shared" 30B3234"/><v/></c><ce0297031s" 33102" t="str"><f t="shared" ref=9703204033"196" 3063>IF(ISBLANK(029703202),"", "10")</f><v/></c><c r=9703102" t="str"><f t="shared" 30"3234"/><v/></c></row><row 97S31span0="19:2"31x14ac:dyDescen02"0.2"3></c><c20971319=""3102" t="str"><f t="shared" ref971:S403B3206" 3073>IF(ISBLANK(029713203),"9713203 )</f><v/></c><c r9713102" t="str"><f t="shared" ref971:T403B3206" 3083>IF(ISBLANK(029713203),"9713203 )</f><v/></c><c209713102" t="str"><f t="shared" r20971:U403B3206" 3093>IF(ISBLANK(029713203),"9713203 )</f><v/></c><c209713102" t="str"><f t="shared" r20971:V403B3206" 3103>IF(ISBLANK(029713203) "SHOP_SKU")</f><v234/c><c r="A02971319="3"102" t="str"><f t="shared" 3063234"/><v/></c><cef=9713102" t="str"><f t="shared" ref=971:AC403B3206" 3113>IF(ISBLANK(029713203) "", "New")</f><v/></c></row><row 97S3 spans="19:2S31x14ac:dyDescen02"0.2="></c><c2097S3 s=""3102" t="str"><f t="shared" 30="237"/><v/></c><cT097S3102" t="str"><f t="shared" 3083234"/><v/></c><c2097S3102" t="str"><f t="shared" 30="239"/><v/><c r="2097S3102" t="str"><f t="shared" 3103234"/><v/></c><ce0297B3192" s="3" t="str"><f t="shared" 3063234"/><v/></c><cef=97S3102" t="str"><f t="shared" 3113234"/><v/></c></row><row 973" spans="19:2S31x14ac:dyDescen02"0.2="></c><c20973" s=""3102" t="str"><f t="shared" 30="237"/><v/></c><cT0973"102" t="str"><f t="shared" 3083234"/><v/></c><c20973"102" t="str"><f t="shared" 30="239"/><v/><c r="20973"102" t="str"><f t="shared" 3103234"/><v/></c><ce02973" s="3"102" t="str"><f t="shared" 3063234"/><v/></c><cef=973"102" t="str"><f t="shared" 3113234"/><v/></c></row><row 97"3204" spans="19:29" x14ac:dyDescent="0.25"><c r97B3 s=""3102" t="str"><f t="shared" 30="237"/><v/></c><cT097B3 02" t="str"><f t="shared" 3083234"/><v/></c><c2097B3 02" t="str"><f t="shared" 30="239"/><v/><c r="2097B3 02" t="str"><f t="shared" 3103234"/><v/></c><ce0297B3204" s="3" t="str"><f t="shared" 3063234"/><v/></c><cef=97B3 02" t="str"><f t="shared" 3113234"/><v/></c></row><row 97"3205" spans="19:29" x14ac:dyDescent="0.25"><c r97"3 s=""3102" t="str"><f t="shared" 30="237"/><v/></c><cT097"3102" t="str"><f t="shared" 3083234"/><v/></c><c2097"3102" t="str"><f t="shared" 30="239"/><v/><c r="2097"3102" t="str"><f t="shared" 3103234"/><v/></c><ce0297B3205"S3102" t="str"><f t="shared" 3063234"/><v/></c><cef=97"3102" t="str"><f t="shared" 3113234"/><v/></c></row><row 97"3206" spans="19:29" x14ac:dyDescent="0.25"><c r97"320=""3102" t="str"><f t="shared" 30="237"/><v/></c><cT097"3202" t="str"><f t="shared" 3083234"/><v/></c><c2097"3202" t="str"><f t="shared" 30="239"/><v/><c r="2097"3202" t="str"><f t="shared" 3103234"/><v/></c><ce0297"320="3"102" t="str"><f t="shared" 3063234"/><v/></c><cef=97"3202" t="str"><f t="shared" 3113234"/><v/></c></row><row 97"3207" spans="19:29" x14ac:dyDescent="0.25"><c r97"320=""3102" t="str"><f t="shared" 30="237"/><v/></c><cT097"3202" t="str"><f t="shared" 3083234"/><v/></c><c2097"3202" t="str"><f t="shared" 30="239"/><v/><c r="2097"3202" t="str"><f t="shared" 3103234"/><v/></c><ce0297"320="3"102" t="str"><f t="shared" 3063234"/><v/></c><cef=97"3202" t="str"><f t="shared" 3113234"/><v/></c></row><row 97"3208" spans="19:29" x14ac:dyDescent="0.25"><c r97"320=""3102" t="str"><f t="shared" 30="237"/><v/></c><cT097"3202" t="str"><f t="shared" 3083234"/><v/></c><c2097"3202" t="str"><f t="shared" 30="239"/><v/><c r="2097"3202" t="str"><f t="shared" 3103234"/><v/></c><ce0297"320="3"102" t="str"><f t="shared" 3063234"/><v/></c><cef=97"3202" t="str"><f t="shared" 3113234"/><v/></c></row><row 97"31span0="19:2"31x14ac:dyDescen02"0.2"3></c><c2097"319=""3102" t="str"><f t="shared" 30="237"/><v/></c><cT097"3102" t="str"><f t="shared" 3083234"/><v/></c><c2097"3102" t="str"><f t="shared" 30="239"/><v/><c r="2097"3102" t="str"><f t="shared" 3103234"/><v/></c><ce0297"319="3"102" t="str"><f t="shared" 3063234"/><v/></c><cef=97"3102" t="str"><f t="shared" 3113234"/><v/></c></row><row 98031span0="19:2"31x14ac:dyDescen02"0.2"3></c><c2098031s=""3102" t="str"><f t="shared" 30="237"/><v/></c><cT09803102" t="str"><f t="shared" 3083234"/><v/></c><c209803102" t="str"><f t="shared" 30="239"/><v/><c r="209803102" t="str"><f t="shared" 3103234"/><v/></c><ce0298031s="3"102" t="str"><f t="shared" 3063234"/><v/></c><cef=9803102" t="str"><f t="shared" 3113234"/><v/></c></row><row 98S31span0="19:2"31x14ac:dyDescen02"0.2"3></c><c20981319=""3102" t="str"><f t="shared" 30="237"/><v/></c><cT09813102" t="str"><f t="shared" 3083234"/><v/></c><c209813102" t="str"><f t="shared" 30="239"/><v/><c r="209813102" t="str"><f t="shared" 3103234"/><v/></c><ce0298B3201" s="3" t="str"><f t="shared" 3063234"/><v/></c><cef=9813102" t="str"><f t="shared" 3113234"/><v/></c></row><row 98S3 spans="19:2S31x14ac:dyDescen02"0.2="></c><c2098S3 s=""3102" t="str"><f t="shared" 30="237"/><v/></c><cT098S3102" t="str"><f t="shared" 3083234"/><v/></c><c2098S3 02" t="str"><f t="shared" 30="239"/><v/><c r="2098S3102" t="str"><f t="shared" 3103234"/><v/></c><ce0298S3 s="3"102" t="str"><f t="shared" 3063234"/><v/></c><cef=98S3102" t="str"><f t="shared" 3113234"/><v/></c></row><row 983" spans="19:2S31x14ac:dyDescen02"0.2="></c><c20983" s=""3102" t="str"><f t="shared" 30="237"/><v/></c><cT0983"102" t="str"><f t="shared" 3083234"/><v/></c><c20983" 02" t="str"><f t="shared" 30="239"/><v/><c r="20983"102" t="str"><f t="shared" 3103234"/><v/></c><ce02983" s="3"102" t="str"><f t="shared" 3063234"/><v/></c><cef=983"102" t="str"><f t="shared" 3113234"/><v/></c></row><row 98"3204" spans="19:29" x14ac:dyDescent="0.25"><c r98"320=""3102" t="str"><f t="shared" 30="237"/><v/></c><cT098B3 02" t="str"><f t="shared" 3083234"/><v/></c><c2098"3202" t="str"><f t="shared" 30="239"/><v/><c r="2098B3 02" t="str"><f t="shared" 3103234"/><v/></c><ce0298"320="3"102" t="str"><f t="shared" 3063234"/><v/></c><cef=98B3 02" t="str"><f t="shared" 3113234"/><v/></c></row><row 98"3205" spans="19:29" x14ac:dyDescent="0.25"><c r98"320=""3102" t="str"><f t="shared" 30="237"/><v/></c><cT098"3102" t="str"><f t="shared" 3083234"/><v/></c><c2098"3202" t="str"><f t="shared" 30="239"/><v/><c r="2098"3102" t="str"><f t="shared" 3103234"/><v/></c><ce0298"320="3"102" t="str"><f t="shared" 3063234"/><v/></c><cef=98"3102" t="str"><f t="shared" 3113234"/><v/></c></row><row 98"3206" spans="19:29" x14ac:dyDescent="0.25"><c r98"320=""3102" t="str"><f t="shared" 30="237"/><v/></c><cT098"3202" t="str"><f t="shared" 3083234"/><v/></c><c2098"3202" t="str"><f t="shared" 30="239"/><v/><c r="2098"3202" t="str"><f t="shared" 3103234"/><v/></c><ce0298"320="3"102" t="str"><f t="shared" 3063234"/><v/></c><cef=98"3202" t="str"><f t="shared" 3113234"/><v/></c></row><row 98"3207" spans="19:29" x14ac:dyDescent="0.25"><c r98"320=""3102" t="str"><f t="shared" 30="237"/><v/></c><cT098"3202" t="str"><f t="shared" 3083234"/><v/></c><c2098"3202" t="str"><f t="shared" 30="239"/><v/><c r="2098"3202" t="str"><f t="shared" 3103234"/><v/></c><ce0298"320="3"102" t="str"><f t="shared" 3063234"/><v/></c><cef=98"3202" t="str"><f t="shared" 3113234"/><v/></c></row><row 98"3208" spans="19:29" x14ac:dyDescent="0.25"><c r98"320=""3102" t="str"><f t="shared" 30="237"/><v/></c><cT098"3202" t="str"><f t="shared" 3083234"/><v/></c><c2098"3202" t="str"><f t="shared" 30="239"/><v/><c r="2098"3202" t="str"><f t="shared" 3103234"/><v/></c><ce0298"320="3"102" t="str"><f t="shared" 3063234"/><v/></c><cef=98"3202" t="str"><f t="shared" 3113234"/><v/></c></row><row 98"31span0="19:2"31x14ac:dyDescen02"0.2"3></c><c2098"31s=""3102" t="str"><f t="shared" 30="237"/><v/></c><cT098"3102" t="str"><f t="shared" 3083234"/><v/></c><c2098"3102" t="str"><f t="shared" 30="239"/><v/><c r="2098"3102" t="str"><f t="shared" 3103234"/><v/></c><ce0298"31s="3"102" t="str"><f t="shared" 3063234"/><v/></c><cef=98"3102" t="str"><f t="shared" 3113234"/><v/></c></row><row 99031span0="19:2"31x14ac:dyDescen02"0.2"3></c><c2099031s=""3102" t="str"><f t="shared" 30="237"/><v/></c><cT09903102" t="str"><f t="shared" 3083234"/><v/></c><c209903102" t="str"><f t="shared" 30="239"/><v/><c r="209903102" t="str"><f t="shared" 3103234"/><v/></c><ce0299031s="3"102" t="str"><f t="shared" 3063234"/><v/></c><cef=9903102" t="str"><f t="shared" 3113234"/><v/></c></row><row 99S31span0="19:2"31x14ac:dyDescen02"0.2"3></c><c2099S31s=""3102" t="str"><f t="shared" 30="237"/><v/></c><cT09913102" t="str"><f t="shared" 3083234"/><v/></c><c2099S3102" t="str"><f t="shared" 30="239"/><v/><c r="2099S3102" t="str"><f t="shared" 3103234"/><v/></c><ce0299B3201" s="3" t="str"><f t="shared" 3063234"/><v/></c><cef=99S3102" t="str"><f t="shared" 3113234"/><v/></c></row><row 99S3 spans="19:2S31x14ac:dyDescen02"0.2="></c><c2099S319=""3102" t="str"><f t="shared" 30="237"/><v/></c><cT099S3102" t="str"><f t="shared" 3083234"/><v/></c><c2099S3 02" t="str"><f t="shared" 30="239"/><v/><c r="2099S3102" t="str"><f t="shared" 3103234"/><v/></c><ce0299B3192" s="3" t="str"><f t="shared" 3063234"/><v/></c><cef=99S3102" t="str"><f t="shared" 3113234"/><v/></c></row><row 993" spans="19:2S31x14ac:dyDescen02"0.2="></c><c20993" s=""3102" t="str"><f t="shared" 30="237"/><v/></c><cT0993"102" t="str"><f t="shared" 3083234"/><v/></c><c20993" 02" t="str"><f t="shared" 30="239"/><v/><c r="20993"102" t="str"><f t="shared" 3103234"/><v/></c><ce02993" s="3"102" t="str"><f t="shared" 3063234"/><v/></c><cef=993"102" t="str"><f t="shared" 3113234"/><v/></c></row><row 99"3204" spans="19:29" x14ac:dyDescent="0.25"><c r99"320=""3102" t="str"><f t="shared" 30="237"/><v/></c><cT099B3 02" t="str"><f t="shared" 3083234"/><v/></c><c2099"3202" t="str"><f t="shared" 30="239"/><v/><c r="2099B3 02" t="str"><f t="shared" 3103234"/><v/></c><ce0299"320="3"102" t="str"><f t="shared" 3063234"/><v/></c><cef=99B3 02" t="str"><f t="shared" 3113234"/><v/></c></row><row 99"3205" spans="19:29" x14ac:dyDescent="0.25"><c r99"320=""3102" t="str"><f t="shared" 30="237"/><v/></c><cT099"3102" t="str"><f t="shared" 3083234"/><v/></c><c2099"3202" t="str"><f t="shared" 30="239"/><v/><c r="2099"3102" t="str"><f t="shared" 3103234"/><v/></c><ce0299"320="3"102" t="str"><f t="shared" 3063234"/><v/></c><cef=99"3102" t="str"><f t="shared" 3113234"/><v/></c></row><row 99"3206" spans="19:29" x14ac:dyDescent="0.25"><c r99"320=""3102" t="str"><f t="shared" 30="237"/><v/></c><cT099"3202" t="str"><f t="shared" 3083234"/><v/></c><c2099"3202" t="str"><f t="shared" 30="239"/><v/><c r="2099"3202" t="str"><f t="shared" 3103234"/><v/></c><ce0299"320="3"102" t="str"><f t="shared" 3063234"/><v/></c><cef=99"3202" t="str"><f t="shared" 3113234"/><v/></c></row><row 99"3207" spans="19:29" x14ac:dyDescent="0.25"><c r99"320=""3102" t="str"><f t="shared" 30="237"/><v/></c><cT099"3202" t="str"><f t="shared" 3083234"/><v/></c><c2099"3202" t="str"><f t="shared" 30="239"/><v/><c r="2099"3202" t="str"><f t="shared" 3103234"/><v/></c><ce0299"320="3"102" t="str"><f t="shared" 3063234"/><v/></c><cef=99"3202" t="str"><f t="shared" 3113234"/><v/></c></row><row 99"3208" spans="19:29" x14ac:dyDescent="0.25"><c r99"320=""3102" t="str"><f t="shared" 30="237"/><v/></c><cT099"3202" t="str"><f t="shared" 3083234"/><v/></c><c2099"3202" t="str"><f t="shared" 30="239"/><v/><c r="2099"3202" t="str"><f t="shared" 3103234"/><v/></c><ce0299"320="3"102" t="str"><f t="shared" 3063234"/><v/></c><cef=99"3202" t="str"><f t="shared" 3113234"/><v/></c></row><row 99"31span0="19:2"31x14ac:dyDescen02"0.2"3></c><c2099"31s=""3102" t="str"><f t="shared" 30="237"/><v/></c><cT099"3102" t="str"><f t="shared" 3083234"/><v/></c><c2099"3102" t="str"><f t="shared" 30="239"/><v/><c r="2099"3102" t="str"><f t="shared" 3103234"/><v/></c><ce0299"31s="3"102" t="str"><f t="shared" 3063234"/><v/></c><cef=99"3102" t="str"><f t="shared" 3113234"/><v/></c></row><row400031span0="19:2"31x14ac:dyDescen02"0.2"3></c><c2400031s=""3102" t="str"><f t="shared" 30="237"/><v/></c><cT40003102" t="str"><f t="shared" 3083234"/><v/></c><c240003102" t="str"><f t="shared" 30="239"/><v/><c r="240003102" t="str"><f t="shared" 3103234"/><v/></c><ce0400031s="3"102" t="str"><f t="shared" 3063234"/><v/></c><cef40003102" t="str"><f t="shared" 3113234"/><v/></c></row><row400S31span0="19:2"31x14ac:dyDescen02"0.2"3></c><c2400S31s=""3102" t="str"><f t="shared" 30="237"/><v/></c><cT40013102" t="str"><f t="shared" 3083234"/><v/></c><c2400S3102" t="str"><f t="shared" 30="239"/><v/><c r="2400S3102" t="str"><f t="shared" 3103234"/><v/></c><ce0400B3201" s="3" t="str"><f t="shared" 3063234"/><v/></c><cef400S3102" t="str"><f t="shared" 3113234"/><v/></c></row><row400S3 spans="19:2S31x14ac:dyDescen02"0.2="></c><c2400S319=""3102" t="str"><f t="shared" 30="237"/><v/></c><cT400S3102" t="str"><f t="shared" 3083234"/><v/></c><c2400S3 02" t="str"><f t="shared" 30="239"/><v/><c r="2400S3102" t="str"><f t="shared" 3103234"/><v/></c><ce0400B3192" s="3" t="str"><f t="shared" 3063234"/><v/></c><cef400S3102" t="str"><f t="shared" 3113234"/><v/></c></row><row4003" spans="19:2S31x14ac:dyDescen02"0.2="></c><c24003" s=""3102" t="str"><f t="shared" 30="237"/><v/></c><cT4003" 02" t="str"><f t="shared" 3083234"/><v/></c><c24003" 02" t="str"><f t="shared" 30="239"/><v/><c r="24003" 02" t="str"><f t="shared" 3103234"/><v/></c><ce04003" s="3"102" t="str"><f t="shared" 3063234"/><v/></c><cef4003"102" t="str"><f t="shared" 3113234"/><v/></c></row><row400"3204" spans="19:29" x14ac:dyDescent="0.25"><c 400"320=""3102" t="str"><f t="shared" 30="237"/><v/></c><cT400B3 02" t="str"><f t="shared" 3083234"/><v/></c><c2400"3202" t="str"><f t="shared" 30="239"/><v/><c r="2400B3 02" t="str"><f t="shared" 3103234"/><v/></c><ce0400"320="3"102" t="str"><f t="shared" 3063234"/><v/></c><cef400B3 02" t="str"><f t="shared" 3113234"/><v/></c></row><row400"3205" spans="19:29" x14ac:dyDescent="0.25"><c 400"320=""3102" t="str"><f t="shared" 30="237"/><v/></c><cT400"3102" t="str"><f t="shared" 3083234"/><v/></c><c2400"3202" t="str"><f t="shared" 30="239"/><v/><c r="2400"3102" t="str"><f t="shared" 3103234"/><v/></c><ce0400"320="3"102" t="str"><f t="shared" 3063234"/><v/></c><cef400"3102" t="str"><f t="shared" 3113234"/><v/></c></row><row400"3206" spans="19:29" x14ac:dyDescent="0.25"><c 400"320=""3102" t="str"><f t="shared" 30="237"/><v/></c><cT400"3202" t="str"><f t="shared" 3083234"/><v/></c><c2400"3202" t="str"><f t="shared" 30="239"/><v/><c r="2400"3202" t="str"><f t="shared" 3103234"/><v/></c><ce0400"320="3"102" t="str"><f t="shared" 3063234"/><v/></c><cef400"3202" t="str"><f t="shared" 3113234"/><v/></c></row><row400"3207" spans="19:29" x14ac:dyDescent="0.25"><c 400"320=""3102" t="str"><f t="shared" 30="237"/><v/></c><cT400"3202" t="str"><f t="shared" 3083234"/><v/></c><c2400"3202" t="str"><f t="shared" 30="239"/><v/><c r="2400"3202" t="str"><f t="shared" 3103234"/><v/></c><ce0400"320="3"102" t="str"><f t="shared" 3063234"/><v/></c><cef400"3202" t="str"><f t="shared" 3113234"/><v/></c></row><row400"3208" spans="19:29" x14ac:dyDescent="0.25"><c 400"320=""3102" t="str"><f t="shared" 30="237"/><v/></c><cT400"3202" t="str"><f t="shared" 3083234"/><v/></c><c2400"3202" t="str"><f t="shared" 30="239"/><v/><c r="2400"3202" t="str"><f t="shared" 3103234"/><v/></c><ce0400"320="3"102" t="str"><f t="shared" 3063234"/><v/></c><cef400"3202" t="str"><f t="shared" 3113234"/><v/></c></row><row400"31span0="19:2"31x14ac:dyDescen02"0.2"3></c><c2400"31s=""3102" t="str"><f t="shared" 30="237"/><v/></c><cT400"3102" t="str"><f t="shared" 3083234"/><v/></c><c2400"3102" t="str"><f t="shared" 30="239"/><v/><c r="2400"3102" t="str"><f t="shared" 3103234"/><v/></c><ce0400"31s="3"102" t="str"><f t="shared" 3063234"/><v/></c><cef400"3102" t="str"><f t="shared" 3113234"/><v/></c></row><row40103 spans="19:2"31x14ac:dyDescen02"0.2"3><c r="240103 s=""3102" t="str"><f t="shared" 30="237"/><v/></c><cT40103 02" t="str"><f t="shared" 3083234"/><v/></c><c240103 02" t="str"><f t="shared" 30="239"/><v/><c r="240103 02" t="str"><f t="shared" 3103234"/><v/></c><ce040103 s="3"102" t="str"><f t="shared" 3063234"/><v/></c><cef40103 02" t="str"><f t="shared" 3113234"/><v/></c></row><row40113 spans="19:2"31x14ac:dyDescen02"0.2"3><c r="24011319=""3102" t="str"><f t="shared" 30="237"/><v/></c><cT40113102" t="str"><f t="shared" 3083234"/><v/></c><c240113102" t="str"><f t="shared" 30="239"/><v/><c r="240113102" t="str"><f t="shared" 3103234"/><v/></c><ce0401131s="3"102" t="str"><f t="shared" 3063234"/><v/></c><cef40113102" t="str"><f t="shared" 3113234"/><v/></c></row><row401S3 spans="19:2S31x14ac:dyDescen02"0.2="></c><c2401S319=""3102" t="str"><f t="shared" 30="237"/><v/></c><cT401S3102" t="str"><f t="shared" 3083234"/><v/></c><c2401S3 02" t="str"><f t="shared" 30="239"/><v/><c r="2401S3102" t="str"><f t="shared" 3103234"/><v/></c><ce0401B3192" s="3" t="str"><f t="shared" 3063234"/><v/></c><cef401S3102" t="str"><f t="shared" 3113234"/><v/></c></row><row4013" spans="19:2S31x14ac:dyDescen02"0.2="></c><c24013" s=""3102" t="str"><f t="shared" 30="237"/><v/></c><cT4013" 02" t="str"><f t="shared" 3083234"/><v/></c><c24013" 02" t="str"><f t="shared" 30="239"/><v/><c r="24013" 02" t="str"><f t="shared" 3103234"/><v/></c><ce04013" s="3"102" t="str"><f t="shared" 3063234"/><v/></c><cef4013" 02" t="str"><f t="shared" 3113234"/><v/></c></row><row401"3204" spans="19:29" x14ac:dyDescent="0.25"><c 401"320=""3102" t="str"><f t="shared" 30="237"/><v/></c><cT401B3 02" t="str"><f t="shared" 3083234"/><v/></c><c2401"3202" t="str"><f t="shared" 30="239"/><v/><c r="2401"3202" t="str"><f t="shared" 3103234"/><v/></c><ce0401"320="3"102" t="str"><f t="shared" 3063234"/><v/></c><cef401B3 02" t="str"><f t="shared" 3113234"/><v/></c></row><row401"3205" spans="19:29" x14ac:dyDescent="0.25"><c 401"320=""3102" t="str"><f t="shared" 30="237"/><v/></c><cT401"3102" t="str"><f t="shared" 3083234"/><v/></c><c2401"3202" t="str"><f t="shared" 30="239"/><v/><c r="2401"3102" t="str"><f t="shared" 3103234"/><v/></c><ce0401"320="3"102" t="str"><f t="shared" 3063234"/><v/></c><cef401"3102" t="str"><f t="shared" 3113234"/><v/></c></row><row401"3206" spans="19:29" x14ac:dyDescent="0.25"><c 401"320=""3102" t="str"><f t="shared" 30="237"/><v/></c><cT401"3202" t="str"><f t="shared" 3083234"/><v/></c><c2401"3202" t="str"><f t="shared" 30="239"/><v/><c r="2401"3202" t="str"><f t="shared" 3103234"/><v/></c><ce0401"320="3"102" t="str"><f t="shared" 3063234"/><v/></c><cef401"3202" t="str"><f t="shared" 3113234"/><v/></c></row><row401"3207" spans="19:29" x14ac:dyDescent="0.25"><c 401"320=""3102" t="str"><f t="shared" 30="237"/><v/></c><cT401"3202" t="str"><f t="shared" 3083234"/><v/></c><c2401"3202" t="str"><f t="shared" 30="239"/><v/><c r="2401"3202" t="str"><f t="shared" 3103234"/><v/></c><ce0401"320="3"102" t="str"><f t="shared" 3063234"/><v/></c><cef401"3202" t="str"><f t="shared" 3113234"/><v/></c></row><row401"3208" spans="19:29" x14ac:dyDescent="0.25"><c 401"320=""3102" t="str"><f t="shared" 30="237"/><v/></c><cT401"3202" t="str"><f t="shared" 3083234"/><v/></c><c2401"3202" t="str"><f t="shared" 30="239"/><v/><c r="2401"3202" t="str"><f t="shared" 3103234"/><v/></c><ce0401"320="3"102" t="str"><f t="shared" 3063234"/><v/></c><cef401"3202" t="str"><f t="shared" 3113234"/><v/></c></row><row401"31span0="19:2"31x14ac:dyDescen02"0.2"3></c><c2401"31s=""3102" t="str"><f t="shared" 30="237"/><v/></c><cT401"3102" t="str"><f t="shared" 3083234"/><v/></c><c2401"3102" t="str"><f t="shared" 30="239"/><v/><c r="2401"3102" t="str"><f t="shared" 3103234"/><v/></c><ce0401"31s="3"102" t="str"><f t="shared" 3063234"/><v/></c><cef401"3102" t="str"><f t="shared" 3113234"/><v/></c></row><row40203 spans="19:2"31x14ac:dyDescen02"0.2"3><c r="240203 s=""3102" t="str"><f t="shared" 30="237"/><v/></c><cT40203 02" t="str"><f t="shared" 3083234"/><v/></c><c240203 02" t="str"><f t="shared" 30="239"/><v/><c r="240203 02" t="str"><f t="shared" 3103234"/><v/></c><ce040203 s="3"102" t="str"><f t="shared" 3063234"/><v/></c><cef40203 02" t="str"><f t="shared" 3113234"/><v/></c></row><row40213 spans="19:2"31x14ac:dyDescen02"0.2"3><c r="240213 s=""3102" t="str"><f t="shared" 30="237"/><v/></c><cT40213102" t="str"><f t="shared" 3083234"/><v/></c><c240213 02" t="str"><f t="shared" 30="239"/><v/><c r="240213 02" t="str"><f t="shared" 3103234"/><v/></c><ce0402B3201" s="3" t="str"><f t="shared" 3063234"/><v/></c><cef40213 02" t="str"><f t="shared" 3113234"/><v/></c></row><row402S3 spans="19:2S31x14ac:dyDescen02"0.2="></c><c2402S319=""3102" t="str"><f t="shared" 30="237"/><v/></c><cT402S3102" t="str"><f t="shared" 3083234"/><v/></c><c2402S3 02" t="str"><f t="shared" 30="239"/><v/><c r="2402S3102" t="str"><f t="shared" 3103234"/><v/></c><ce0402B3192" s="3" t="str"><f t="shared" 3063234"/><v/></c><cef402S3102" t="str"><f t="shared" 3113234"/><v/></c></row><row4023" spans="19:2S31x14ac:dyDescen02"0.2="></c><c24023" s=""3102" t="str"><f t="shared" 30="237"/><v/></c><cT4023" 02" t="str"><f t="shared" 3083234"/><v/></c><c24023" 02" t="str"><f t="shared" 30="239"/><v/><c r="24023" 02" t="str"><f t="shared" 3103234"/><v/></c><ce04023" s="3"102" t="str"><f t="shared" 3063234"/><v/></c><cef4023" 02" t="str"><f t="shared" 3113234"/><v/></c></row><row402"3204" spans="19:29" x14ac:dyDescent="0.25"><c 402"320=""3102" t="str"><f t="shared" 30="237"/><v/></c><cT402"3202" t="str"><f t="shared" 3083234"/><v/></c><c2402"3202" t="str"><f t="shared" 30="239"/><v/><c r="2402"3202" t="str"><f t="shared" 3103234"/><v/></c><ce0402"320="3"102" t="str"><f t="shared" 3063234"/><v/></c><cef402"3202" t="str"><f t="shared" 3113234"/><v/></c></row><row402"3205" spans="19:29" x14ac:dyDescent="0.25"><c 402"320=""3102" t="str"><f t="shared" 30="237"/><v/></c><cT402"3202" t="str"><f t="shared" 3083234"/><v/></c><c2402"3202" t="str"><f t="shared" 30="239"/><v/><c r="2402"3202" t="str"><f t="shared" 3103234"/><v/></c><ce0402"320="3"102" t="str"><f t="shared" 3063234"/><v/></c><cef402"3102" t="str"><f t="shared" 3113234"/><v/></c></row><row402"3206" spans="19:29" x14ac:dyDescent="0.25"><c 402"320=""3102" t="str"><f t="shared" 30="237"/><v/></c><cT402"3202" t="str"><f t="shared" 3083234"/><v/></c><c2402"3202" t="str"><f t="shared" 30="239"/><v/><c r="2402"3202" t="str"><f t="shared" 3103234"/><v/></c><ce0402"320="3"102" t="str"><f t="shared" 3063234"/><v/></c><cef402"3202" t="str"><f t="shared" 3113234"/><v/></c></row><row402"3207" spans="19:29" x14ac:dyDescent="0.25"><c 402"320=""3102" t="str"><f t="shared" 30="237"/><v/></c><cT402"3202" t="str"><f t="shared" 3083234"/><v/></c><c2402"3202" t="str"><f t="shared" 30="239"/><v/><c r="2402"3202" t="str"><f t="shared" 3103234"/><v/></c><ce0402"320="3"102" t="str"><f t="shared" 3063234"/><v/></c><cef402"3202" t="str"><f t="shared" 3113234"/><v/></c></row><row402"3208" spans="19:29" x14ac:dyDescent="0.25"><c 402"320=""3102" t="str"><f t="shared" 30="237"/><v/></c><cT402"3202" t="str"><f t="shared" 3083234"/><v/></c><c2402"3202" t="str"><f t="shared" 30="239"/><v/><c r="2402"3202" t="str"><f t="shared" 3103234"/><v/></c><ce0402"320="3"102" t="str"><f t="shared" 3063234"/><v/></c><cef402"3202" t="str"><f t="shared" 3113234"/><v/></c></row><row402"31spans="19:2"31x14ac:dyDescen02"0.2"3><c r="2402"31s=""3102" t="str"><f t="shared" 30="237"/><v/></c><cT402"3102" t="str"><f t="shared" 3083234"/><v/></c><c2402"3102" t="str"><f t="shared" 30="239"/><v/><c r="2402"3102" t="str"><f t="shared" 3103234"/><v/></c><ce0402"31s="3"102" t="str"><f t="shared" 3063234"/><v/></c><cef402"3102" t="str"><f t="shared" 3113234"/><v/></c></row><row40303 spans="19:2"31x14ac:dyDescen02"0.2"3><c r="240303 s=""3102" t="str"><f t="shared" 30="237"/><v/></c><cT40303 02" t="str"><f t="shared" 3083234"/><v/></c><c240303 02" t="str"><f t="shared" 30="239"/><v/><c r="240303 02" t="str"><f t="shared" 3103234"/><v/></c><ce040303 s="3"102" t="str"><f t="shared" 3063234"/><v/></c><cef40303 02" t="str"><f t="shared" 3113234"/><v/></c></row><row40313 spans="19:2"31x14ac:dyDescen02"0.2"3><c r="240313 s=""3102" t="str"><f t="shared" 30="237"/><v/></c><cT40313102" t="str"><f t="shared" 3083234"/><v/></c><c240313 02" t="str"><f t="shared" 30="239"/><v/><c r="240313 02" t="str"><f t="shared" 3103234"/><v/></c><ce0403B3201" s="3" t="str"><f t="shared" 3063234"/><v/></c><cef40313 02" t="str"><f t="shared" 3113234"/><v/></c></row><row403S3 spans="19:2S31x14ac:dyDescen02"0.2="></c><c2403S319=""3102" t="str"><f t="shared" 30="237"/><v/></c><cT403S3102" t="str"><f t="shared" 3083234"/><v/></c><c2403S3 02" t="str"><f t="shared" 30="239"/><v/><c r="2403S3102" t="str"><f t="shared" 3103234"/><v/></c><ce0403B3192" s="3" t="str"><f t="shared" 3063234"/><v/></c><cef403S3102" t="str"><f t="shared" 3113234"/><v/></c></row><row4033" spans="19:2S31x14ac:dyDescen02"0.2="></c><c24033"19=""3102" t="str"><f t="shared" 30="237"/><v/></c><cT4033" 02" t="str"><f t="shared" 3083234"/><v/></c><c24033"102" t="str"><f t="shared" 30="239"/><v/><c r="24033"102" t="str"><f t="shared" 3103234"/><v/></c><ce04033" s="3"102" t="str"><f t="shared" 3063234"/><v/></c><cef4033"102" t="str"><f t="shared" 3113234"/><v/></c></row><row403B320pans="19:2"31x14ac:dyDescen02"0.2"3><c r="2403B320=""3102" t="str"><f t="shared" 30="237"/><v/></c><cT403"3202" t="str"><f t="shared" 3083234"/><v/></c><c2403B3202" t="str"><f t="shared" 30="239"/><v/><c r="2403B3 02" t="str"><f t="shared" 3103234"/><v/></c><ce0403B320="3"102" t="str"><f t="shared" ref403B320409"3206" 31S3>IF(ISBLANK(0403B3202),"", "10")</f><v/></c><c r403B3202" t="str"><f t="shared" 3113234"/><v/></c></row><row403"3205" spans="19:29" x14ac:dyDescent="0.25"><c 403"320=""3102" t="str"><f t="shared" re4035:S409"3206" 3133>IF(ISBLANK(040353203),40353203 )</f><v/></c><c 40353202" t="str"><f t="shared" re4035:T409"3206" 3143>IF(ISBLANK(040353203),40353203 )</f><v/></c><cU40353202" t="str"><f t="shared" rU4035:U409"3206" 31"3>IF(ISBLANK(040353203),40353203 )</f><v/></c><cV40353202" t="str"><f t="shared" rV4035:V409"3206" 3163>IF(ISBLANK(040353203) "SHOP_SKU")</f><v234/c><c r="A0403532s="3"102" t="str"><f t="shared" 31S3234"/><v/></c><ceC40353202" t="str"><f t="shared" rAC4035:AC409"3206" 3173>IF(ISBLANK(040353203) "", "New")</f><v/></c></row><row403"3206" spans="19:29" x14ac:dyDescent="0.25"><c 403"320=""3102" t="str"><f t="shared" 313"234"/><v/></c><cT403"3202" t="str"><f t="shared" 31B3234"/><v/></c><cU403"3202" t="str"><f t="shared" 31"3234"/><v/><c r="2403"3202" t="str"><f t="shared" 3163234"/><v/></c><ce0403"320="3"102" t="str"><f t="shared" 31S3234"/><v/></c><ceC403"3202" t="str"><f t="shared" 31="237"/><v/></c></row><row403"3207" spans="19:29" x14ac:dyDescent="0.25"><c 403"320=""3102" t="str"><f t="shared" 313"234"/><v/></c><cT403"3202" t="str"><f t="shared" 31B3234"/><v/></c><cU403"3202" t="str"><f t="shared" 31"3234"/><v/><c r="2403"3202" t="str"><f t="shared" 3163234"/><v/></c><ce0403"320="3"102" t="str"><f t="shared" 31S3234"/><v/></c><ceC403"3202" t="str"><f t="shared" 31="237"/><v/></c></row><row403"3208" spans="19:29" x14ac:dyDescent="0.25"><c 403"320=""3102" t="str"><f t="shared" 313"234"/><v/></c><cT403"3202" t="str"><f t="shared" 31B3234"/><v/></c><cU403"3202" t="str"><f t="shared" 31"3234"/><v/><c r="2403"3202" t="str"><f t="shared" 3163234"/><v/></c><ce0403"320="3"102" t="str"><f t="shared" 31S3234"/><v/></c><ceC403"3202" t="str"><f t="shared" 31="237"/><v/></c></row><row403"31spans="19:2"31x14ac:dyDescen02"0.2"3><c r="2403"31s=""3102" t="str"><f t="shared" 313"234"/><v/></c><cT403"3102" t="str"><f t="shared" 31B3234"/><v/></c><cU403"3102" t="str"><f t="shared" 31"3234"/><v/><c r="2403"3102" t="str"><f t="shared" 3163234"/><v/></c><ce0403"31s="3"102" t="str"><f t="shared" 31S3234"/><v/></c><ceC403"3102" t="str"><f t="shared" 31="237"/><v/></c></row><row40403 spans="19:2"31x14ac:dyDescen02"0.2"3><c r="240403 s=""3102" t="str"><f t="shared" 313"234"/><v/></c><cT40403 02" t="str"><f t="shared" 31B3234"/><v/></c><cU40403 02" t="str"><f t="shared" 31"3234"/><v/><c r="240403 02" t="str"><f t="shared" 3163234"/><v/></c><ce040403 s="3"102" t="str"><f t="shared" 31S3234"/><v/></c><ceC40403 02" t="str"><f t="shared" 31="237"/><v/></c></row><row40413 spans="19:2"31x14ac:dyDescen02"0.2"3><c r="24041319=""3102" t="str"><f t="shared" 313"234"/><v/></c><cT40413102" t="str"><f t="shared" 31B3234"/><v/></c><cU40413102" t="str"><f t="shared" 31"3234"/><v/><c r="240413102" t="str"><f t="shared" 3163234"/><v/></c><ce0404B3201" s="3" t="str"><f t="shared" 31S3234"/><v/></c><ceC40413102" t="str"><f t="shared" 31="237"/><v/></c></row><row404S3 spans="19:2S31x14ac:dyDescen02"0.2="></c><c2404S319=""3102" t="str"><f t="shared" 313"234"/><v/></c><cT404S3 02" t="str"><f t="shared" 31"3234"/><v/></c><cU404S3102" t="str"><f t="shared" 31"3234"/><v/><c r="2404S3102" t="str"><f t="shared" 3163234"/><v/></c><ce0404B3192" s="3" t="str"><f t="shared" 31S3234"/><v/></c><ceC404S3102" t="str"><f t="shared" 31="237"/><v/></c></row><row4043" spans="19:2S31x14ac:dyDescen02"0.2="></c><c24043" s=""3102" t="str"><f t="shared" 313"234"/><v/></c><cT4043" 02" t="str"><f t="shared" 31B3234"/><v/></c><cU4043" 02" t="str"><f t="shared" 31"3234"/><v/><c r="24043" 02" t="str"><f t="shared" 3163234"/><v/></c><ce04043" s="3"102" t="str"><f t="shared" 31S3234"/><v/></c><ceC4043" 02" t="str"><f t="shared" 31="237"/><v/></c></row><row404"3204" spans="19:29" x14ac:dyDescent="0.25"><c 404"320=""3102" t="str"><f t="shared" 313"234"/><v/></c><cT404B3 02" t="str"><f t="shared" 31"3234"/><v/></c><cU404B3 02" t="str"><f t="shared" 31"3234"/><v/><c r="2404B3 02" t="str"><f t="shared" 3163234"/><v/></c><ce0404"320="3"102" t="str"><f t="shared" 31S3234"/><v/></c><ceC404B3 02" t="str"><f t="shared" 31="237"/><v/></c></row><row404"3205" spans="19:29" x14ac:dyDescent="0.25"><c 404"320=""3102" t="str"><f t="shared" 313"234"/><v/></c><cT404"3102" t="str"><f t="shared" 31"3234"/><v/></c><cU404"3102" t="str"><f t="shared" 31"3234"/><v/><c r="2404"3102" t="str"><f t="shared" 3163234"/><v/></c><ce0404"320="3"102" t="str"><f t="shared" 31S3234"/><v/></c><ceC404"3102" t="str"><f t="shared" 31="237"/><v/></c></row><row404"3206" spans="19:29" x14ac:dyDescent="0.25"><c 404"320=""3102" t="str"><f t="shared" 313"234"/><v/></c><cT404"3202" t="str"><f t="shared" 31B3234"/><v/></c><cU404"3202" t="str"><f t="shared" 31"3234"/><v/><c r="2404"3202" t="str"><f t="shared" 3163234"/><v/></c><ce0404"320="3"102" t="str"><f t="shared" 31S3234"/><v/></c><ceC404"3202" t="str"><f t="shared" 31="237"/><v/></c></row><row404"3207" spans="19:29" x14ac:dyDescent="0.25"><c 404"320=""3102" t="str"><f t="shared" 313"234"/><v/></c><cT404"3202" t="str"><f t="shared" 31B3234"/><v/></c><cU404"3202" t="str"><f t="shared" 31"3234"/><v/><c r="2404"3202" t="str"><f t="shared" 3163234"/><v/></c><ce0404"320="3"102" t="str"><f t="shared" 31S3234"/><v/></c><ceC404"3202" t="str"><f t="shared" 31="237"/><v/></c></row><row404"3208" spans="19:29" x14ac:dyDescent="0.25"><c 404"320=""3102" t="str"><f t="shared" 313"234"/><v/></c><cT404"3202" t="str"><f t="shared" 31B3234"/><v/></c><cU404"3202" t="str"><f t="shared" 31"3234"/><v/><c r="2404"3202" t="str"><f t="shared" 3163234"/><v/></c><ce0404"320="3"102" t="str"><f t="shared" 31S3234"/><v/></c><ceC404"3202" t="str"><f t="shared" 31="237"/><v/></c></row><row404"31spans="19:2"31x14ac:dyDescen02"0.2"3><c r="2404"31s=""3102" t="str"><f t="shared" 313"234"/><v/></c><cT404"3102" t="str"><f t="shared" 31B3234"/><v/></c><cU404"3102" t="str"><f t="shared" 31"3234"/><v/><c r="2404"3102" t="str"><f t="shared" 3163234"/><v/></c><ce0404"31s="3"102" t="str"><f t="shared" 31S3234"/><v/></c><ceC404"3102" t="str"><f t="shared" 31="237"/><v/></c></row><row40503 spans="19:2"31x14ac:dyDescen02"0.2"3><c r="240503 s=""3102" t="str"><f t="shared" 313"234"/><v/></c><cT40503 02" t="str"><f t="shared" 31B3234"/><v/></c><cU40503 02" t="str"><f t="shared" 31"3234"/><v/><c r="240503 02" t="str"><f t="shared" 3163234"/><v/></c><ce040503 s="3"102" t="str"><f t="shared" 31S3234"/><v/></c><ceC40503 02" t="str"><f t="shared" 31="237"/><v/></c></row><row40513 spans="19:2"31x14ac:dyDescen02"0.2"3><c r="240513 s=""3102" t="str"><f t="shared" 313"234"/><v/></c><cT40513102" t="str"><f t="shared" 31B3234"/><v/></c><cU40513 02" t="str"><f t="shared" 31"3234"/><v/><c r="240513 02" t="str"><f t="shared" 3163234"/><v/></c><ce0405B3201" s="3" t="str"><f t="shared" 31S3234"/><v/></c><ceC40513 02" t="str"><f t="shared" 31="237"/><v/></c></row><row405S3 spans="19:2S31x14ac:dyDescen02"0.2="></c><c2405S319=""3102" t="str"><f t="shared" 313"234"/><v/></c><cT405S3102" t="str"><f t="shared" 31B3234"/><v/></c><cU405S3102" t="str"><f t="shared" 31"3234"/><v/><c r="2405S3102" t="str"><f t="shared" 3163234"/><v/></c><ce0405B3192" s="3" t="str"><f t="shared" 31S3234"/><v/></c><ceC405S3102" t="str"><f t="shared" 31="237"/><v/></c></row><row4053" spans="19:2S31x14ac:dyDescen02"0.2="></c><c24053" s=""3102" t="str"><f t="shared" 313"234"/><v/></c><cT4053" 02" t="str"><f t="shared" 31B3234"/><v/></c><cU4053" 02" t="str"><f t="shared" 31"3234"/><v/><c r="24053" 02" t="str"><f t="shared" 3163234"/><v/></c><ce04053" s="3"102" t="str"><f t="shared" 31S3234"/><v/></c><ceC4053" 02" t="str"><f t="shared" 31="237"/><v/></c></row><row405"3204" spans="19:29" x14ac:dyDescent="0.25"><c 405"320=""3102" t="str"><f t="shared" 313"234"/><v/></c><cT405"3202" t="str"><f t="shared" 31B3234"/><v/></c><cU405B3 02" t="str"><f t="shared" 31"3234"/><v/><c r="2405"3202" t="str"><f t="shared" 3163234"/><v/></c><ce0405"320="3"102" t="str"><f t="shared" 31S3234"/><v/></c><ceC405"3202" t="str"><f t="shared" 31="237"/><v/></c></row><row405"3205" spans="19:29" x14ac:dyDescent="0.25"><c 405"320=""3102" t="str"><f t="shared" 313"234"/><v/></c><cT405"3202" t="str"><f t="shared" 31B3234"/><v/></c><cU405"3102" t="str"><f t="shared" 31"3234"/><v/><c r="2405"3202" t="str"><f t="shared" 3163234"/><v/></c><ce0405"320="3"102" t="str"><f t="shared" 31S3234"/><v/></c><ceC405"3202" t="str"><f t="shared" 31="237"/><v/></c></row><row405"3206" spans="19:29" x14ac:dyDescent="0.25"><c 405"320=""3102" t="str"><f t="shared" 313"234"/><v/></c><cT405"3202" t="str"><f t="shared" 31B3234"/><v/></c><cU405"3202" t="str"><f t="shared" 31"3234"/><v/><c r="2405"3202" t="str"><f t="shared" 3163234"/><v/></c><ce0405"320="3"102" t="str"><f t="shared" 31S3234"/><v/></c><ceC405"3202" t="str"><f t="shared" 31="237"/><v/></c></row><row405"3207" spans="19:29" x14ac:dyDescent="0.25"><c 405"320=""3102" t="str"><f t="shared" 313"234"/><v/></c><cT405"3202" t="str"><f t="shared" 31B3234"/><v/></c><cU405"3202" t="str"><f t="shared" 31"3234"/><v/><c r="2405"3202" t="str"><f t="shared" 3163234"/><v/></c><ce0405"320="3"102" t="str"><f t="shared" 31S3234"/><v/></c><ceC405"3202" t="str"><f t="shared" 31="237"/><v/></c></row><row405"3208" spans="19:29" x14ac:dyDescent="0.25"><c 405"320=""3102" t="str"><f t="shared" 313"234"/><v/></c><cT405"3202" t="str"><f t="shared" 31B3234"/><v/></c><cU405"3202" t="str"><f t="shared" 31"3234"/><v/><c r="2405"3202" t="str"><f t="shared" 3163234"/><v/></c><ce0405"320="3"102" t="str"><f t="shared" 31S3234"/><v/></c><ceC405"3202" t="str"><f t="shared" 31="237"/><v/></c></row><row405"31spans="19:2"31x14ac:dyDescen02"0.2"3><c r="2405"31s=""3102" t="str"><f t="shared" 313"234"/><v/></c><cT405"3102" t="str"><f t="shared" 31B3234"/><v/></c><cU405"3102" t="str"><f t="shared" 31"3234"/><v/><c r="2405"3102" t="str"><f t="shared" 3163234"/><v/></c><ce0405"31s="3"102" t="str"><f t="shared" 31S3234"/><v/></c><ceC405"3102" t="str"><f t="shared" 31="237"/><v/></c></row><row40603 spans="19:2"31x14ac:dyDescen02"0.2"3><c r="240603 s=""3102" t="str"><f t="shared" 313"234"/><v/></c><cT40603 02" t="str"><f t="shared" 31B3234"/><v/></c><cU40603 02" t="str"><f t="shared" 31"3234"/><v/><c r="240603 02" t="str"><f t="shared" 3163234"/><v/></c><ce040603 s="3"102" t="str"><f t="shared" 31S3234"/><v/></c><ceC40603 02" t="str"><f t="shared" 31="237"/><v/></c></row><row40613 spans="19:2"31x14ac:dyDescen02"0.2"3><c r="24061319=""3102" t="str"><f t="shared" 313"234"/><v/></c><cT40613102" t="str"><f t="shared" 31B3234"/><v/></c><cU40613 02" t="str"><f t="shared" 31"3234"/><v/><c r="240613102" t="str"><f t="shared" 3163234"/><v/></c><ce0406B3201" s="3" t="str"><f t="shared" 31S3234"/><v/></c><ceC40613102" t="str"><f t="shared" 31="237"/><v/></c></row><row406S3 spans="19:2S31x14ac:dyDescen02"0.2="></c><c2406S319=""3102" t="str"><f t="shared" 313"234"/><v/></c><cT406S3102" t="str"><f t="shared" 31B3234"/><v/></c><cU406S3102" t="str"><f t="shared" 31"3234"/><v/><c r="2406S3102" t="str"><f t="shared" 3163234"/><v/></c><ce0406B3192" s="3" t="str"><f t="shared" 31S3234"/><v/></c><ceC406S3102" t="str"><f t="shared" 31="237"/><v/></c></row><row4063" spans="19:2S31x14ac:dyDescen02"0.2="></c><c24063" s=""3102" t="str"><f t="shared" 313"234"/><v/></c><cT4063" 02" t="str"><f t="shared" 31B3234"/><v/></c><cU4063" 02" t="str"><f t="shared" 31"3234"/><v/><c r="24063" 02" t="str"><f t="shared" 3163234"/><v/></c><ce04063" s="3"102" t="str"><f t="shared" 31S3234"/><v/></c><ceC4063" 02" t="str"><f t="shared" 31="237"/><v/></c></row><row406"3204" spans="19:29" x14ac:dyDescent="0.25"><c 406"320=""3102" t="str"><f t="shared" 313"234"/><v/></c><cT406"3202" t="str"><f t="shared" 31B3234"/><v/></c><cU406B3 02" t="str"><f t="shared" 31"3234"/><v/><c r="2406"3202" t="str"><f t="shared" 3163234"/><v/></c><ce0406"320="3"102" t="str"><f t="shared" 31S3234"/><v/></c><ceC406"3202" t="str"><f t="shared" 31="237"/><v/></c></row><row406"3205" spans="19:29" x14ac:dyDescent="0.25"><c 406"320=""3102" t="str"><f t="shared" 313"234"/><v/></c><cT406"3202" t="str"><f t="shared" 31B3234"/><v/></c><cU406"3102" t="str"><f t="shared" 31"3234"/><v/><c r="2406"3202" t="str"><f t="shared" 3163234"/><v/></c><ce0406"320="3"102" t="str"><f t="shared" 31S3234"/><v/></c><ceC406"3202" t="str"><f t="shared" 31="237"/><v/></c></row><row406"3206" spans="19:29" x14ac:dyDescent="0.25"><c 406"320=""3102" t="str"><f t="shared" 313"234"/><v/></c><cT406"3202" t="str"><f t="shared" 31B3234"/><v/></c><cU406"3202" t="str"><f t="shared" 31"3234"/><v/><c r="2406"3202" t="str"><f t="shared" 3163234"/><v/></c><ce0406"320="3"102" t="str"><f t="shared" 31S3234"/><v/></c><ceC406"3202" t="str"><f t="shared" 31="237"/><v/></c></row><row406"3207" spans="19:29" x14ac:dyDescent="0.25"><c 406"320=""3102" t="str"><f t="shared" 313"234"/><v/></c><cT406"3202" t="str"><f t="shared" 31B3234"/><v/></c><cU406"3202" t="str"><f t="shared" 31"3234"/><v/><c r="2406"3202" t="str"><f t="shared" 3163234"/><v/></c><ce0406"320="3"102" t="str"><f t="shared" 31S3234"/><v/></c><ceC406"3202" t="str"><f t="shared" 31="237"/><v/></c></row><row406"3208" spans="19:29" x14ac:dyDescent="0.25"><c 406"320=""3102" t="str"><f t="shared" 313"234"/><v/></c><cT406"3202" t="str"><f t="shared" 31B3234"/><v/></c><cU406"3202" t="str"><f t="shared" 31"3234"/><v/><c r="2406"3202" t="str"><f t="shared" 3163234"/><v/></c><ce0406"320="3"102" t="str"><f t="shared" 31S3234"/><v/></c><ceC406"3202" t="str"><f t="shared" 31="237"/><v/></c></row><row406"31spans="19:2"31x14ac:dyDescen02"0.2"3><c r="2406"31s=""3102" t="str"><f t="shared" 313"234"/><v/></c><cT406"3102" t="str"><f t="shared" 31B3234"/><v/></c><cU406"3102" t="str"><f t="shared" 31"3234"/><v/><c r="2406"3102" t="str"><f t="shared" 3163234"/><v/></c><ce0406"31s="3"102" t="str"><f t="shared" 31S3234"/><v/></c><ceC406"3102" t="str"><f t="shared" 31="237"/><v/></c></row><row40703 spans="19:2"31x14ac:dyDescen02"0.2"3><c r="240703 s=""3102" t="str"><f t="shared" 313"234"/><v/></c><cT40703 02" t="str"><f t="shared" 31B3234"/><v/></c><cU40703 02" t="str"><f t="shared" 31"3234"/><v/><c r="240703 02" t="str"><f t="shared" 3163234"/><v/></c><ce040703 s="3"102" t="str"><f t="shared" 31S3234"/><v/></c><ceC40703 02" t="str"><f t="shared" 31="237"/><v/></c></row><row40713 spans="19:2"31x14ac:dyDescen02"0.2"3><c r="24071319=""3102" t="str"><f t="shared" 313"234"/><v/></c><cT40713102" t="str"><f t="shared" 31B3234"/><v/></c><cU40713 02" t="str"><f t="shared" 31"3234"/><v/><c r="240713102" t="str"><f t="shared" 3163234"/><v/></c><ce0407B3201" s="3" t="str"><f t="shared" 31S3234"/><v/></c><ceC40713102" t="str"><f t="shared" 31="237"/><v/></c></row><row407S3 spans="19:2S31x14ac:dyDescen02"0.2="></c><c2407S319=""3102" t="str"><f t="shared" 313"234"/><v/></c><cT407S3102" t="str"><f t="shared" 31B3234"/><v/></c><cU407S3102" t="str"><f t="shared" 31"3234"/><v/><c r="2407S3102" t="str"><f t="shared" 3163234"/><v/></c><ce0407B3192" s="3" t="str"><f t="shared" 31S3234"/><v/></c><ceC407S3102" t="str"><f t="shared" 31="237"/><v/></c></row><row4073" spans="19:2S31x14ac:dyDescen02"0.2="></c><c24073" s=""3102" t="str"><f t="shared" 313"234"/><v/></c><cT4073" 02" t="str"><f t="shared" 31B3234"/><v/></c><cU4073" 02" t="str"><f t="shared" 31"3234"/><v/><c r="24073" 02" t="str"><f t="shared" 3163234"/><v/></c><ce04073" s="3"102" t="str"><f t="shared" 31S3234"/><v/></c><ceC4073" 02" t="str"><f t="shared" 31="237"/><v/></c></row><row407"3204" spans="19:29" x14ac:dyDescent="0.25"><c 407"320=""3102" t="str"><f t="shared" 313"234"/><v/></c><cT407"3202" t="str"><f t="shared" 31B3234"/><v/></c><cU407B3 02" t="str"><f t="shared" 31"3234"/><v/><c r="2407"3202" t="str"><f t="shared" 3163234"/><v/></c><ce0407"320="3"102" t="str"><f t="shared" 31S3234"/><v/></c><ceC407"3202" t="str"><f t="shared" 31="237"/><v/></c></row><row407"3205" spans="19:29" x14ac:dyDescent="0.25"><c 407"320=""3102" t="str"><f t="shared" 313"234"/><v/></c><cT407"3202" t="str"><f t="shared" 31B3234"/><v/></c><cU407"3102" t="str"><f t="shared" 31"3234"/><v/><c r="2407"3202" t="str"><f t="shared" 3163234"/><v/></c><ce0407"320="3"102" t="str"><f t="shared" 31S3234"/><v/></c><ceC407"3202" t="str"><f t="shared" 31="237"/><v/></c></row><row407"3206" spans="19:29" x14ac:dyDescent="0.25"><c 407"320=""3102" t="str"><f t="shared" 313"234"/><v/></c><cT407"3202" t="str"><f t="shared" 31B3234"/><v/></c><cU407"3202" t="str"><f t="shared" 31"3234"/><v/><c r="2407"3202" t="str"><f t="shared" 3163234"/><v/></c><ce0407"320="3"102" t="str"><f t="shared" 31S3234"/><v/></c><ceC407"3202" t="str"><f t="shared" 31="237"/><v/></c></row><row407"3207" spans="19:29" x14ac:dyDescent="0.25"><c 407"320=""3102" t="str"><f t="shared" 313"234"/><v/></c><cT407"3202" t="str"><f t="shared" 31B3234"/><v/></c><cU407"3202" t="str"><f t="shared" 31"3234"/><v/><c r="2407"3202" t="str"><f t="shared" 3163234"/><v/></c><ce0407"320="3"102" t="str"><f t="shared" 31S3234"/><v/></c><ceC407"3202" t="str"><f t="shared" 31="237"/><v/></c></row><row407"3208" spans="19:29" x14ac:dyDescent="0.25"><c 407"320=""3102" t="str"><f t="shared" 313"234"/><v/></c><cT407"3202" t="str"><f t="shared" 31B3234"/><v/></c><cU407"3202" t="str"><f t="shared" 31"3234"/><v/><c r="2407"3202" t="str"><f t="shared" 3163234"/><v/></c><ce0407"320="3"102" t="str"><f t="shared" 31S3234"/><v/></c><ceC407"3202" t="str"><f t="shared" 31="237"/><v/></c></row><row407"31spans="19:2"31x14ac:dyDescen02"0.2"3><c r="2407"31s=""3102" t="str"><f t="shared" 313"234"/><v/></c><cT407"3102" t="str"><f t="shared" 31B3234"/><v/></c><cU407"3102" t="str"><f t="shared" 31"3234"/><v/><c r="2407"3102" t="str"><f t="shared" 3163234"/><v/></c><ce0407"31s="3"102" t="str"><f t="shared" 31S3234"/><v/></c><ceC407"3102" t="str"><f t="shared" 31="237"/><v/></c></row><row40803 spans="19:2"31x14ac:dyDescen02"0.2"3><c r="240803 s=""3102" t="str"><f t="shared" 313"234"/><v/></c><cT40803 02" t="str"><f t="shared" 31B3234"/><v/></c><cU40803 02" t="str"><f t="shared" 31"3234"/><v/><c r="240803 02" t="str"><f t="shared" 3163234"/><v/></c><ce040803 s="3"102" t="str"><f t="shared" 31S3234"/><v/></c><ceC40803 02" t="str"><f t="shared" 31="237"/><v/></c></row><row40813 spans="19:2"31x14ac:dyDescen02"0.2"3><c r="24081319=""3102" t="str"><f t="shared" 313"234"/><v/></c><cT40813102" t="str"><f t="shared" 31B3234"/><v/></c><cU40813 02" t="str"><f t="shared" 31"3234"/><v/><c r="240813102" t="str"><f t="shared" 3163234"/><v/></c><ce0408B3201" s="3" t="str"><f t="shared" 31S3234"/><v/></c><ceC40813102" t="str"><f t="shared" 31="237"/><v/></c></row><row408S3 spans="19:2S31x14ac:dyDescen02"0.2="></c><c2408S319=""3102" t="str"><f t="shared" 313"234"/><v/></c><cT408S3102" t="str"><f t="shared" 31B3234"/><v/></c><cU408S3102" t="str"><f t="shared" 31"3234"/><v/><c r="2408S3102" t="str"><f t="shared" 3163234"/><v/></c><ce0408B3192" s="3" t="str"><f t="shared" 31S3234"/><v/></c><ceC408S3102" t="str"><f t="shared" 31="237"/><v/></c></row><row4083" spans="19:2S31x14ac:dyDescen02"0.2="></c><c24083" s=""3102" t="str"><f t="shared" 313"234"/><v/></c><cT4083" 02" t="str"><f t="shared" 31B3234"/><v/></c><cU4083" 02" t="str"><f t="shared" 31"3234"/><v/><c r="24083" 02" t="str"><f t="shared" 3163234"/><v/></c><ce04083" s="3"102" t="str"><f t="shared" 31S3234"/><v/></c><ceC4083" 02" t="str"><f t="shared" 31="237"/><v/></c></row><row408"3204" spans="19:29" x14ac:dyDescent="0.25"><c 408"320=""3102" t="str"><f t="shared" 313"234"/><v/></c><cT408"3202" t="str"><f t="shared" 31B3234"/><v/></c><cU408B3 02" t="str"><f t="shared" 31"3234"/><v/><c r="2408"3202" t="str"><f t="shared" 3163234"/><v/></c><ce0408"320="3"102" t="str"><f t="shared" 31S3234"/><v/></c><ceC408"3202" t="str"><f t="shared" 31="237"/><v/></c></row><row408"3205" spans="19:29" x14ac:dyDescent="0.25"><c 408"320=""3102" t="str"><f t="shared" 313"234"/><v/></c><cT408"3202" t="str"><f t="shared" 31B3234"/><v/></c><cU408"3102" t="str"><f t="shared" 31"3234"/><v/><c r="2408"3202" t="str"><f t="shared" 3163234"/><v/></c><ce0408"320="3"102" t="str"><f t="shared" 31S3234"/><v/></c><ceC408"3202" t="str"><f t="shared" 31="237"/><v/></c></row><row408"3206" spans="19:29" x14ac:dyDescent="0.25"><c 408"320=""3102" t="str"><f t="shared" 313"234"/><v/></c><cT408"3202" t="str"><f t="shared" 31B3234"/><v/></c><cU408"3202" t="str"><f t="shared" 31"3234"/><v/><c r="2408"3202" t="str"><f t="shared" 3163234"/><v/></c><ce0408"320="3"102" t="str"><f t="shared" 31S3234"/><v/></c><ceC408"3202" t="str"><f t="shared" 31="237"/><v/></c></row><row408"3207" spans="19:29" x14ac:dyDescent="0.25"><c 408"320=""3102" t="str"><f t="shared" 313"234"/><v/></c><cT408"3202" t="str"><f t="shared" 31B3234"/><v/></c><cU408"3202" t="str"><f t="shared" 31"3234"/><v/><c r="2408"3202" t="str"><f t="shared" 3163234"/><v/></c><ce0408"320="3"102" t="str"><f t="shared" 31S3234"/><v/></c><ceC408"3202" t="str"><f t="shared" 31="237"/><v/></c></row><row408"3208" spans="19:29" x14ac:dyDescent="0.25"><c 408"320=""3102" t="str"><f t="shared" 313"234"/><v/></c><cT408"3202" t="str"><f t="shared" 31B3234"/><v/></c><cU408"3202" t="str"><f t="shared" 31"3234"/><v/><c r="2408"3202" t="str"><f t="shared" 3163234"/><v/></c><ce0408"320="3"102" t="str"><f t="shared" 31S3234"/><v/></c><ceC408"3202" t="str"><f t="shared" 31="237"/><v/></c></row><row408"31spans="19:2"31x14ac:dyDescen02"0.2"3><c r="2408"31s=""3102" t="str"><f t="shared" 313"234"/><v/></c><cT408"3102" t="str"><f t="shared" 31B3234"/><v/></c><cU408"3102" t="str"><f t="shared" 31"3234"/><v/><c r="2408"3102" t="str"><f t="shared" 3163234"/><v/></c><ce0408"31s="3"102" t="str"><f t="shared" 31S3234"/><v/></c><ceC408"3102" t="str"><f t="shared" 31="237"/><v/></c></row><row40903 spans="19:2"31x14ac:dyDescen02"0.2"3><c r="240903 s=""3102" t="str"><f t="shared" 313"234"/><v/></c><cT40903 02" t="str"><f t="shared" 31B3234"/><v/></c><cU40903 02" t="str"><f t="shared" 31"3234"/><v/><c r="240903 02" t="str"><f t="shared" 3163234"/><v/></c><ce040903 s="3"102" t="str"><f t="shared" 31S3234"/><v/></c><ceC40903 02" t="str"><f t="shared" 31="237"/><v/></c></row><row40913 spans="19:2"31x14ac:dyDescen02"0.2"3><c r="24091319=""3102" t="str"><f t="shared" 313"234"/><v/></c><cT40913102" t="str"><f t="shared" 31B3234"/><v/></c><cU40913 02" t="str"><f t="shared" 31"3234"/><v/><c r="240913102" t="str"><f t="shared" 3163234"/><v/></c><ce0409B3201" s="3" t="str"><f t="shared" 31S3234"/><v/></c><ceC40913102" t="str"><f t="shared" 31="237"/><v/></c></row><row409S3 spans="19:2S31x14ac:dyDescen02"0.2="></c><c2409S319=""3102" t="str"><f t="shared" 313"234"/><v/></c><cT409S3102" t="str"><f t="shared" 31B3234"/><v/></c><cU409S3102" t="str"><f t="shared" 31"3234"/><v/><c r="2409S3102" t="str"><f t="shared" 3163234"/><v/></c><ce0409B3192" s="3" t="str"><f t="shared" 31S3234"/><v/></c><ceC409S3102" t="str"><f t="shared" 31="237"/><v/></c></row><row4093" spans="19:2S31x14ac:dyDescen02"0.2="></c><c24093" s=""3102" t="str"><f t="shared" 313"234"/><v/></c><cT4093" 02" t="str"><f t="shared" 31B3234"/><v/></c><cU4093" 02" t="str"><f t="shared" 31"3234"/><v/><c r="24093" 02" t="str"><f t="shared" 3163234"/><v/></c><ce04093" s="3"102" t="str"><f t="shared" 31S3234"/><v/></c><ceC4093" 02" t="str"><f t="shared" 31="237"/><v/></c></row><row409"3204" spans="19:29" x14ac:dyDescent="0.25"><c 409"320=""3102" t="str"><f t="shared" 313"234"/><v/></c><cT409"3202" t="str"><f t="shared" 31B3234"/><v/></c><cU409B3 02" t="str"><f t="shared" 31"3234"/><v/><c r="2409"3202" t="str"><f t="shared" 3163234"/><v/></c><ce0409"320="3"102" t="str"><f t="shared" 31S3234"/><v/></c><ceC409"3202" t="str"><f t="shared" 31="237"/><v/></c></row><row409"3205" spans="19:29" x14ac:dyDescent="0.25"><c 409"320=""3102" t="str"><f t="shared" 313"234"/><v/></c><cT409"3202" t="str"><f t="shared" 31B3234"/><v/></c><cU409"3102" t="str"><f t="shared" 31"3234"/><v/><c r="2409"3202" t="str"><f t="shared" 3163234"/><v/></c><ce0409"320="3"102" t="str"><f t="shared" 31S3234"/><v/></c><ceC409"3202" t="str"><f t="shared" 31="237"/><v/></c></row><row409"3206" spans="19:29" x14ac:dyDescent="0.25"><c 409"320=""3102" t="str"><f t="shared" 313"234"/><v/></c><cT409"3202" t="str"><f t="shared" 31B3234"/><v/></c><cU409"3202" t="str"><f t="shared" 31"3234"/><v/><c r="2409"3202" t="str"><f t="shared" 3163234"/><v/></c><ce0409"320="3"102" t="str"><f t="shared" 31S3234"/><v/></c><ceC409"3202" t="str"><f t="shared" 31="237"/><v/></c></<row r="4097" spans="19:29" x14ac:dyDescent="0.25"><c r="S4097" s="9" t="str"><f t="shared" si="313"/><v/></c><c r="T4097" t="str"><f t="shared" si="314"/><v/></c><c r="U4097" t="str"><f t="shared" si="315"/><v/></c><c r="V4097" t="str"><f t="shared" si="316"/><v/></c><c r="AB4097" s="3" t="str"><f t="shared" si="312"/><v/></c><c r="AC4097" t="str"><f t="shared" si="317"/><v/></c></row><row r="4098" spans="19:29" x14ac:dyDescent="0.25"><c r="S4098" s="9" t="str"><f t="shared" si="313"/><v/></c><c r="T4098" t="str"><f t="shared" si="314"/><v/></c><c r="U4098" t="str"><f t="shared" si="315"/><v/></c><c r="V4098" t="str"><f t="shared" si="316"/><v/></c><c r="AB4098" s="3" t="str"><f t="shared" ref="AB4098:AB4161" si="318">IF(ISBLANK(B4098),"", "10")</f><v/></c><c r="AC4098" t="str"><f t="shared" si="317"/><v/></c></row><row r="4099" spans="19:29" x14ac:dyDescent="0.25"><c r="S4099" s="9" t="str"><f t="shared" ref="S4099:S4162" si="319">IF(ISBLANK(B4099),"",B4099 )</f><v/></c><c r="T4099" t="str"><f t="shared" ref="T4099:T4162" si="320">IF(ISBLANK(B4099),"",B4099 )</f><v/></c><c r="U4099" t="str"><f t="shared" ref="U4099:U4162" si="321">IF(ISBLANK(B4099),"",B4099 )</f><v/></c><c r="V4099" t="str"><f t="shared" ref="V4099:V4162" si="322">IF(ISBLANK(B4099),"", "SHOP_SKU")</f><v/></c><c r="AB4099" s="3" t="str"><f t="shared" si="318"/><v/></c><c r="AC4099" t="str"><f t="shared" ref="AC4099:AC4162" si="323">IF(ISBLANK(B4099),"", "New")</f><v/></c></row><row r="4100" spans="19:29" x14ac:dyDescent="0.25"><c r="S4100" s="9" t="str"><f t="shared" si="319"/><v/></c><c r="T4100" t="str"><f t="shared" si="320"/><v/></c><c r="U4100" t="str"><f t="shared" si="321"/><v/></c><c r="V4100" t="str"><f t="shared" si="322"/><v/></c><c r="AB4100" s="3" t="str"><f t="shared" si="318"/><v/></c><c r="AC4100" t="str"><f t="shared" si="323"/><v/></c></row><row r="4101" spans="19:29" x14ac:dyDescent="0.25"><c r="S4101" s="9" t="str"><f t="shared" si="319"/><v/></c><c r="T4101" t="str"><f t="shared" si="320"/><v/></c><c r="U4101" t="str"><f t="shared" si="321"/><v/></c><c r="V4101" t="str"><f t="shared" si="322"/><v/></c><c r="AB4101" s="3" t="str"><f t="shared" si="318"/><v/></c><c r="AC4101" t="str"><f t="shared" si="323"/><v/></c></row><row r="4102" spans="19:29" x14ac:dyDescent="0.25"><c r="S4102" s="9" t="str"><f t="shared" si="319"/><v/></c><c r="T4102" t="str"><f t="shared" si="320"/><v/></c><c r="U4102" t="str"><f t="shared" si="321"/><v/></c><c r="V4102" t="str"><f t="shared" si="322"/><v/></c><c r="AB4102" s="3" t="str"><f t="shared" si="318"/><v/></c><c r="AC4102" t="str"><f t="shared" si="323"/><v/></c></row><row r="4103" spans="19:29" x14ac:dyDescent="0.25"><c r="S4103" s="9" t="str"><f t="shared" si="319"/><v/></c><c r="T4103" t="str"><f t="shared" si="320"/><v/></c><c r="U4103" t="str"><f t="shared" si="321"/><v/></c><c r="V4103" t="str"><f t="shared" si="322"/><v/></c><c r="AB4103" s="3" t="str"><f t="shared" si="318"/><v/></c><c r="AC4103" t="str"><f t="shared" si="323"/><v/></c></row><row r="4104" spans="19:29" x14ac:dyDescent="0.25"><c r="S4104" s="9" t="str"><f t="shared" si="319"/><v/></c><c r="T4104" t="str"><f t="shared" si="320"/><v/></c><c r="U4104" t="str"><f t="shared" si="321"/><v/></c><c r="V4104" t="str"><f t="shared" si="322"/><v/></c><c r="AB4104" s="3" t="str"><f t="shared" si="318"/><v/></c><c r="AC4104" t="str"><f t="shared" si="323"/><v/></c></row><row r="4105" spans="19:29" x14ac:dyDescent="0.25"><c r="S4105" s="9" t="str"><f t="shared" si="319"/><v/></c><c r="T4105" t="str"><f t="shared" si="320"/><v/></c><c r="U4105" t="str"><f t="shared" si="321"/><v/></c><c r="V4105" t="str"><f t="shared" si="322"/><v/></c><c r="AB4105" s="3" t="str"><f t="shared" si="318"/><v/></c><c r="AC4105" t="str"><f t="shared" si="323"/><v/></c></row><row r="4106" spans="19:29" x14ac:dyDescent="0.25"><c r="S4106" s="9" t="str"><f t="shared" si="319"/><v/></c><c r="T4106" t="str"><f t="shared" si="320"/><v/></c><c r="U4106" t="str"><f t="shared" si="321"/><v/></c><c r="V4106" t="str"><f t="shared" si="322"/><v/></c><c r="AB4106" s="3" t="str"><f t="shared" si="318"/><v/></c><c r="AC4106" t="str"><f t="shared" si="323"/><v/></c></row><row r="4107" spans="19:29" x14ac:dyDescent="0.25"><c r="S4107" s="9" t="str"><f t="shared" si="319"/><v/></c><c r="T4107" t="str"><f t="shared" si="320"/><v/></c><c r="U4107" t="str"><f t="shared" si="321"/><v/></c><c r="V4107" t="str"><f t="shared" si="322"/><v/></c><c r="AB4107" s="3" t="str"><f t="shared" si="318"/><v/></c><c r="AC4107" t="str"><f t="shared" si="323"/><v/></c></row><row r="4108" spans="19:29" x14ac:dyDescent="0.25"><c r="S4108" s="9" t="str"><f t="shared" si="319"/><v/></c><c r="T4108" t="str"><f t="shared" si="320"/><v/></c><c r="U4108" t="str"><f t="shared" si="321"/><v/></c><c r="V4108" t="str"><f t="shared" si="322"/><v/></c><c r="AB4108" s="3" t="str"><f t="shared" si="318"/><v/></c><c r="AC4108" t="str"><f t="shared" si="323"/><v/></c></row><row r="4109" spans="19:29" x14ac:dyDescent="0.25"><c r="S4109" s="9" t="str"><f t="shared" si="319"/><v/></c><c r="T4109" t="str"><f t="shared" si="320"/><v/></c><c r="U4109" t="str"><f t="shared" si="321"/><v/></c><c r="V4109" t="str"><f t="shared" si="322"/><v/></c><c r="AB4109" s="3" t="str"><f t="shared" si="318"/><v/></c><c r="AC4109" t="str"><f t="shared" si="323"/><v/></c></row><row r="4110" spans="19:29" x14ac:dyDescent="0.25"><c r="S4110" s="9" t="str"><f t="shared" si="319"/><v/></c><c r="T4110" t="str"><f t="shared" si="320"/><v/></c><c r="U4110" t="str"><f t="shared" si="321"/><v/></c><c r="V4110" t="str"><f t="shared" si="322"/><v/></c><c r="AB4110" s="3" t="str"><f t="shared" si="318"/><v/></c><c r="AC4110" t="str"><f t="shared" si="323"/><v/></c></row><row r="4111" spans="19:29" x14ac:dyDescent="0.25"><c r="S4111" s="9" t="str"><f t="shared" si="319"/><v/></c><c r="T4111" t="str"><f t="shared" si="320"/><v/></c><c r="U4111" t="str"><f t="shared" si="321"/><v/></c><c r="V4111" t="str"><f t="shared" si="322"/><v/></c><c r="AB4111" s="3" t="str"><f t="shared" si="318"/><v/></c><c r="AC4111" t="str"><f t="shared" si="323"/><v/></c></row><row r="4112" spans="19:29" x14ac:dyDescent="0.25"><c r="S4112" s="9" t="str"><f t="shared" si="319"/><v/></c><c r="T4112" t="str"><f t="shared" si="320"/><v/></c><c r="U4112" t="str"><f t="shared" si="321"/><v/></c><c r="V4112" t="str"><f t="shared" si="322"/><v/></c><c r="AB4112" s="3" t="str"><f t="shared" si="318"/><v/></c><c r="AC4112" t="str"><f t="shared" si="323"/><v/></c></row><row r="4113" spans="19:29" x14ac:dyDescent="0.25"><c r="S4113" s="9" t="str"><f t="shared" si="319"/><v/></c><c r="T4113" t="str"><f t="shared" si="320"/><v/></c><c r="U4113" t="str"><f t="shared" si="321"/><v/></c><c r="V4113" t="str"><f t="shared" si="322"/><v/></c><c r="AB4113" s="3" t="str"><f t="shared" si="318"/><v/></c><c r="AC4113" t="str"><f t="shared" si="323"/><v/></c></row><row r="4114" spans="19:29" x14ac:dyDescent="0.25"><c r="S4114" s="9" t="str"><f t="shared" si="319"/><v/></c><c r="T4114" t="str"><f t="shared" si="320"/><v/></c><c r="U4114" t="str"><f t="shared" si="321"/><v/></c><c r="V4114" t="str"><f t="shared" si="322"/><v/></c><c r="AB4114" s="3" t="str"><f t="shared" si="318"/><v/></c><c r="AC4114" t="str"><f t="shared" si="323"/><v/></c></row><row r="4115" spans="19:29" x14ac:dyDescent="0.25"><c r="S4115" s="9" t="str"><f t="shared" si="319"/><v/></c><c r="T4115" t="str"><f t="shared" si="320"/><v/></c><c r="U4115" t="str"><f t="shared" si="321"/><v/></c><c r="V4115" t="str"><f t="shared" si="322"/><v/></c><c r="AB4115" s="3" t="str"><f t="shared" si="318"/><v/></c><c r="AC4115" t="str"><f t="shared" si="323"/><v/></c></row><row r="4116" spans="19:29" x14ac:dyDescent="0.25"><c r="S4116" s="9" t="str"><f t="shared" si="319"/><v/></c><c r="T4116" t="str"><f t="shared" si="320"/><v/></c><c r="U4116" t="str"><f t="shared" si="321"/><v/></c><c r="V4116" t="str"><f t="shared" si="322"/><v/></c><c r="AB4116" s="3" t="str"><f t="shared" si="318"/><v/></c><c r="AC4116" t="str"><f t="shared" si="323"/><v/></c></row><row r="4117" spans="19:29" x14ac:dyDescent="0.25"><c r="S4117" s="9" t="str"><f t="shared" si="319"/><v/></c><c r="T4117" t="str"><f t="shared" si="320"/><v/></c><c r="U4117" t="str"><f t="shared" si="321"/><v/></c><c r="V4117" t="str"><f t="shared" si="322"/><v/></c><c r="AB4117" s="3" t="str"><f t="shared" si="318"/><v/></c><c r="AC4117" t="str"><f t="shared" si="323"/><v/></c></row><row r="4118" spans="19:29" x14ac:dyDescent="0.25"><c r="S4118" s="9" t="str"><f t="shared" si="319"/><v/></c><c r="T4118" t="str"><f t="shared" si="320"/><v/></c><c r="U4118" t="str"><f t="shared" si="321"/><v/></c><c r="V4118" t="str"><f t="shared" si="322"/><v/></c><c r="AB4118" s="3" t="str"><f t="shared" si="318"/><v/></c><c r="AC4118" t="str"><f t="shared" si="323"/><v/></c></row><row r="4119" spans="19:29" x14ac:dyDescent="0.25"><c r="S4119" s="9" t="str"><f t="shared" si="319"/><v/></c><c r="T4119" t="str"><f t="shared" si="320"/><v/></c><c r="U4119" t="str"><f t="shared" si="321"/><v/></c><c r="V4119" t="str"><f t="shared" si="322"/><v/></c><c r="AB4119" s="3" t="str"><f t="shared" si="318"/><v/></c><c r="AC4119" t="str"><f t="shared" si="323"/><v/></c></row><row r="4120" spans="19:29" x14ac:dyDescent="0.25"><c r="S4120" s="9" t="str"><f t="shared" si="319"/><v/></c><c r="T4120" t="str"><f t="shared" si="320"/><v/></c><c r="U4120" t="str"><f t="shared" si="321"/><v/></c><c r="V4120" t="str"><f t="shared" si="322"/><v/></c><c r="AB4120" s="3" t="str"><f t="shared" si="318"/><v/></c><c r="AC4120" t="str"><f t="shared" si="323"/><v/></c></row><row r="4121" spans="19:29" x14ac:dyDescent="0.25"><c r="S4121" s="9" t="str"><f t="shared" si="319"/><v/></c><c r="T4121" t="str"><f t="shared" si="320"/><v/></c><c r="U4121" t="str"><f t="shared" si="321"/><v/></c><c r="V4121" t="str"><f t="shared" si="322"/><v/></c><c r="AB4121" s="3" t="str"><f t="shared" si="318"/><v/></c><c r="AC4121" t="str"><f t="shared" si="323"/><v/></c></row><row r="4122" spans="19:29" x14ac:dyDescent="0.25"><c r="S4122" s="9" t="str"><f t="shared" si="319"/><v/></c><c r="T4122" t="str"><f t="shared" si="320"/><v/></c><c r="U4122" t="str"><f t="shared" si="321"/><v/></c><c r="V4122" t="str"><f t="shared" si="322"/><v/></c><c r="AB4122" s="3" t="str"><f t="shared" si="318"/><v/></c><c r="AC4122" t="str"><f t="shared" si="323"/><v/></c></row><row r="4123" spans="19:29" x14ac:dyDescent="0.25"><c r="S4123" s="9" t="str"><f t="shared" si="319"/><v/></c><c r="T4123" t="str"><f t="shared" si="320"/><v/></c><c r="U4123" t="str"><f t="shared" si="321"/><v/></c><c r="V4123" t="str"><f t="shared" si="322"/><v/></c><c r="AB4123" s="3" t="str"><f t="shared" si="318"/><v/></c><c r="AC4123" t="str"><f t="shared" si="323"/><v/></c></row><row r="4124" spans="19:29" x14ac:dyDescent="0.25"><c r="S4124" s="9" t="str"><f t="shared" si="319"/><v/></c><c r="T4124" t="str"><f t="shared" si="320"/><v/></c><c r="U4124" t="str"><f t="shared" si="321"/><v/></c><c r="V4124" t="str"><f t="shared" si="322"/><v/></c><c r="AB4124" s="3" t="str"><f t="shared" si="318"/><v/></c><c r="AC4124" t="str"><f t="shared" si="323"/><v/></c></row><row r="4125" spans="19:29" x14ac:dyDescent="0.25"><c r="S4125" s="9" t="str"><f t="shared" si="319"/><v/></c><c r="T4125" t="str"><f t="shared" si="320"/><v/></c><c r="U4125" t="str"><f t="shared" si="321"/><v/></c><c r="V4125" t="str"><f t="shared" si="322"/><v/></c><c r="AB4125" s="3" t="str"><f t="shared" si="318"/><v/></c><c r="AC4125" t="str"><f t="shared" si="323"/><v/></c></row><row r="4126" spans="19:29" x14ac:dyDescent="0.25"><c r="S4126" s="9" t="str"><f t="shared" si="319"/><v/></c><c r="T4126" t="str"><f t="shared" si="320"/><v/></c><c r="U4126" t="str"><f t="shared" si="321"/><v/></c><c r="V4126" t="str"><f t="shared" si="322"/><v/></c><c r="AB4126" s="3" t="str"><f t="shared" si="318"/><v/></c><c r="AC4126" t="str"><f t="shared" si="323"/><v/></c></row><row r="4127" spans="19:29" x14ac:dyDescent="0.25"><c r="S4127" s="9" t="str"><f t="shared" si="319"/><v/></c><c r="T4127" t="str"><f t="shared" si="320"/><v/></c><c r="U4127" t="str"><f t="shared" si="321"/><v/></c><c r="V4127" t="str"><f t="shared" si="322"/><v/></c><c r="AB4127" s="3" t="str"><f t="shared" si="318"/><v/></c><c r="AC4127" t="str"><f t="shared" si="323"/><v/></c></row><row r="4128" spans="19:29" x14ac:dyDescent="0.25"><c r="S4128" s="9" t="str"><f t="shared" si="319"/><v/></c><c r="T4128" t="str"><f t="shared" si="320"/><v/></c><c r="U4128" t="str"><f t="shared" si="321"/><v/></c><c r="V4128" t="str"><f t="shared" si="322"/><v/></c><c r="AB4128" s="3" t="str"><f t="shared" si="318"/><v/></c><c r="AC4128" t="str"><f t="shared" si="323"/><v/></c></row><row r="4129" spans="19:29" x14ac:dyDescent="0.25"><c r="S4129" s="9" t="str"><f t="shared" si="319"/><v/></c><c r="T4129" t="str"><f t="shared" si="320"/><v/></c><c r="U4129" t="str"><f t="shared" si="321"/><v/></c><c r="V4129" t="str"><f t="shared" si="322"/><v/></c><c r="AB4129" s="3" t="str"><f t="shared" si="318"/><v/></c><c r="AC4129" t="str"><f t="shared" si="323"/><v/></c></row><row r="4130" spans="19:29" x14ac:dyDescent="0.25"><c r="S4130" s="9" t="str"><f t="shared" si="319"/><v/></c><c r="T4130" t="str"><f t="shared" si="320"/><v/></c><c r="U4130" t="str"><f t="shared" si="321"/><v/></c><c r="V4130" t="str"><f t="shared" si="322"/><v/></c><c r="AB4130" s="3" t="str"><f t="shared" si="318"/><v/></c><c r="AC4130" t="str"><f t="shared" si="323"/><v/></c></row><row r="4131" spans="19:29" x14ac:dyDescent="0.25"><c r="S4131" s="9" t="str"><f t="shared" si="319"/><v/></c><c r="T4131" t="str"><f t="shared" si="320"/><v/></c><c r="U4131" t="str"><f t="shared" si="321"/><v/></c><c r="V4131" t="str"><f t="shared" si="322"/><v/></c><c r="AB4131" s="3" t="str"><f t="shared" si="318"/><v/></c><c r="AC4131" t="str"><f t="shared" si="323"/><v/></c></row><row r="4132" spans="19:29" x14ac:dyDescent="0.25"><c r="S4132" s="9" t="str"><f t="shared" si="319"/><v/></c><c r="T4132" t="str"><f t="shared" si="320"/><v/></c><c r="U4132" t="str"><f t="shared" si="321"/><v/></c><c r="V4132" t="str"><f t="shared" si="322"/><v/></c><c r="AB4132" s="3" t="str"><f t="shared" si="318"/><v/></c><c r="AC4132" t="str"><f t="shared" si="323"/><v/></c></row><row r="4133" spans="19:29" x14ac:dyDescent="0.25"><c r="S4133" s="9" t="str"><f t="shared" si="319"/><v/></c><c r="T4133" t="str"><f t="shared" si="320"/><v/></c><c r="U4133" t="str"><f t="shared" si="321"/><v/></c><c r="V4133" t="str"><f t="shared" si="322"/><v/></c><c r="AB4133" s="3" t="str"><f t="shared" si="318"/><v/></c><c r="AC4133" t="str"><f t="shared" si="323"/><v/></c></row><row r="4134" spans="19:29" x14ac:dyDescent="0.25"><c r="S4134" s="9" t="str"><f t="shared" si="319"/><v/></c><c r="T4134" t="str"><f t="shared" si="320"/><v/></c><c r="U4134" t="str"><f t="shared" si="321"/><v/></c><c r="V4134" t="str"><f t="shared" si="322"/><v/></c><c r="AB4134" s="3" t="str"><f t="shared" si="318"/><v/></c><c r="AC4134" t="str"><f t="shared" si="323"/><v/></c></row><row r="4135" spans="19:29" x14ac:dyDescent="0.25"><c r="S4135" s="9" t="str"><f t="shared" si="319"/><v/></c><c r="T4135" t="str"><f t="shared" si="320"/><v/></c><c r="U4135" t="str"><f t="shared" si="321"/><v/></c><c r="V4135" t="str"><f t="shared" si="322"/><v/></c><c r="AB4135" s="3" t="str"><f t="shared" si="318"/><v/></c><c r="AC4135" t="str"><f t="shared" si="323"/><v/></c></row><row r="4136" spans="19:29" x14ac:dyDescent="0.25"><c r="S4136" s="9" t="str"><f t="shared" si="319"/><v/></c><c r="T4136" t="str"><f t="shared" si="320"/><v/></c><c r="U4136" t="str"><f t="shared" si="321"/><v/></c><c r="V4136" t="str"><f t="shared" si="322"/><v/></c><c r="AB4136" s="3" t="str"><f t="shared" si="318"/><v/></c><c r="AC4136" t="str"><f t="shared" si="323"/><v/></c></row><row r="4137" spans="19:29" x14ac:dyDescent="0.25"><c r="S4137" s="9" t="str"><f t="shared" si="319"/><v/></c><c r="T4137" t="str"><f t="shared" si="320"/><v/></c><c r="U4137" t="str"><f t="shared" si="321"/><v/></c><c r="V4137" t="str"><f t="shared" si="322"/><v/></c><c r="AB4137" s="3" t="str"><f t="shared" si="318"/><v/></c><c r="AC4137" t="str"><f t="shared" si="323"/><v/></c></row><row r="4138" spans="19:29" x14ac:dyDescent="0.25"><c r="S4138" s="9" t="str"><f t="shared" si="319"/><v/></c><c r="T4138" t="str"><f t="shared" si="320"/><v/></c><c r="U4138" t="str"><f t="shared" si="321"/><v/></c><c r="V4138" t="str"><f t="shared" si="322"/><v/></c><c r="AB4138" s="3" t="str"><f t="shared" si="318"/><v/></c><c r="AC4138" t="str"><f t="shared" si="323"/><v/></c></row><row r="4139" spans="19:29" x14ac:dyDescent="0.25"><c r="S4139" s="9" t="str"><f t="shared" si="319"/><v/></c><c r="T4139" t="str"><f t="shared" si="320"/><v/></c><c r="U4139" t="str"><f t="shared" si="321"/><v/></c><c r="V4139" t="str"><f t="shared" si="322"/><v/></c><c r="AB4139" s="3" t="str"><f t="shared" si="318"/><v/></c><c r="AC4139" t="str"><f t="shared" si="323"/><v/></c></row><row r="4140" spans="19:29" x14ac:dyDescent="0.25"><c r="S4140" s="9" t="str"><f t="shared" si="319"/><v/></c><c r="T4140" t="str"><f t="shared" si="320"/><v/></c><c r="U4140" t="str"><f t="shared" si="321"/><v/></c><c r="V4140" t="str"><f t="shared" si="322"/><v/></c><c r="AB4140" s="3" t="str"><f t="shared" si="318"/><v/></c><c r="AC4140" t="str"><f t="shared" si="323"/><v/></c></row><row r="4141" spans="19:29" x14ac:dyDescent="0.25"><c r="S4141" s="9" t="str"><f t="shared" si="319"/><v/></c><c r="T4141" t="str"><f t="shared" si="320"/><v/></c><c r="U4141" t="str"><f t="shared" si="321"/><v/></c><c r="V4141" t="str"><f t="shared" si="322"/><v/></c><c r="AB4141" s="3" t="str"><f t="shared" si="318"/><v/></c><c r="AC4141" t="str"><f t="shared" si="323"/><v/></c></row><row r="4142" spans="19:29" x14ac:dyDescent="0.25"><c r="S4142" s="9" t="str"><f t="shared" si="319"/><v/></c><c r="T4142" t="str"><f t="shared" si="320"/><v/></c><c r="U4142" t="str"><f t="shared" si="321"/><v/></c><c r="V4142" t="str"><f t="shared" si="322"/><v/></c><c r="AB4142" s="3" t="str"><f t="shared" si="318"/><v/></c><c r="AC4142" t="str"><f t="shared" si="323"/><v/></c></row><row r="4143" spans="19:29" x14ac:dyDescent="0.25"><c r="S4143" s="9" t="str"><f t="shared" si="319"/><v/></c><c r="T4143" t="str"><f t="shared" si="320"/><v/></c><c r="U4143" t="str"><f t="shared" si="321"/><v/></c><c r="V4143" t="str"><f t="shared" si="322"/><v/></c><c r="AB4143" s="3" t="str"><f t="shared" si="318"/><v/></c><c r="AC4143" t="str"><f t="shared" si="323"/><v/></c></row><row r="4144" spans="19:29" x14ac:dyDescent="0.25"><c r="S4144" s="9" t="str"><f t="shared" si="319"/><v/></c><c r="T4144" t="str"><f t="shared" si="320"/><v/></c><c r="U4144" t="str"><f t="shared" si="321"/><v/></c><c r="V4144" t="str"><f t="shared" si="322"/><v/></c><c r="AB4144" s="3" t="str"><f t="shared" si="318"/><v/></c><c r="AC4144" t="str"><f t="shared" si="323"/><v/></c></row><row r="4145" spans="19:29" x14ac:dyDescent="0.25"><c r="S4145" s="9" t="str"><f t="shared" si="319"/><v/></c><c r="T4145" t="str"><f t="shared" si="320"/><v/></c><c r="U4145" t="str"><f t="shared" si="321"/><v/></c><c r="V4145" t="str"><f t="shared" si="322"/><v/></c><c r="AB4145" s="3" t="str"><f t="shared" si="318"/><v/></c><c r="AC4145" t="str"><f t="shared" si="323"/><v/></c></row><row r="4146" spans="19:29" x14ac:dyDescent="0.25"><c r="S4146" s="9" t="str"><f t="shared" si="319"/><v/></c><c r="T4146" t="str"><f t="shared" si="320"/><v/></c><c r="U4146" t="str"><f t="shared" si="321"/><v/></c><c r="V4146" t="str"><f t="shared" si="322"/><v/></c><c r="AB4146" s="3" t="str"><f t="shared" si="318"/><v/></c><c r="AC4146" t="str"><f t="shared" si="323"/><v/></c></row><row r="4147" spans="19:29" x14ac:dyDescent="0.25"><c r="S4147" s="9" t="str"><f t="shared" si="319"/><v/></c><c r="T4147" t="str"><f t="shared" si="320"/><v/></c><c r="U4147" t="str"><f t="shared" si="321"/><v/></c><c r="V4147" t="str"><f t="shared" si="322"/><v/></c><c r="AB4147" s="3" t="str"><f t="shared" si="318"/><v/></c><c r="AC4147" t="str"><f t="shared" si="323"/><v/></c></row><row r="4148" spans="19:29" x14ac:dyDescent="0.25"><c r="S4148" s="9" t="str"><f t="shared" si="319"/><v/></c><c r="T4148" t="str"><f t="shared" si="320"/><v/></c><c r="U4148" t="str"><f t="shared" si="321"/><v/></c><c r="V4148" t="str"><f t="shared" si="322"/><v/></c><c r="AB4148" s="3" t="str"><f t="shared" si="318"/><v/></c><c r="AC4148" t="str"><f t="shared" si="323"/><v/></c></row><row r="4149" spans="19:29" x14ac:dyDescent="0.25"><c r="S4149" s="9" t="str"><f t="shared" si="319"/><v/></c><c r="T4149" t="str"><f t="shared" si="320"/><v/></c><c r="U4149" t="str"><f t="shared" si="321"/><v/></c><c r="V4149" t="str"><f t="shared" si="322"/><v/></c><c r="AB4149" s="3" t="str"><f t="shared" si="318"/><v/></c><c r="AC4149" t="str"><f t="shared" si="323"/><v/></c></row><row r="4150" spans="19:29" x14ac:dyDescent="0.25"><c r="S4150" s="9" t="str"><f t="shared" si="319"/><v/></c><c r="T4150" t="str"><f t="shared" si="320"/><v/></c><c r="U4150" t="str"><f t="shared" si="321"/><v/></c><c r="V4150" t="str"><f t="shared" si="322"/><v/></c><c r="AB4150" s="3" t="str"><f t="shared" si="318"/><v/></c><c r="AC4150" t="str"><f t="shared" si="323"/><v/></c></row><row r="4151" spans="19:29" x14ac:dyDescent="0.25"><c r="S4151" s="9" t="str"><f t="shared" si="319"/><v/></c><c r="T4151" t="str"><f t="shared" si="320"/><v/></c><c r="U4151" t="str"><f t="shared" si="321"/><v/></c><c r="V4151" t="str"><f t="shared" si="322"/><v/></c><c r="AB4151" s="3" t="str"><f t="shared" si="318"/><v/></c><c r="AC4151" t="str"><f t="shared" si="323"/><v/></c></row><row r="4152" spans="19:29" x14ac:dyDescent="0.25"><c r="S4152" s="9" t="str"><f t="shared" si="319"/><v/></c><c r="T4152" t="str"><f t="shared" si="320"/><v/></c><c r="U4152" t="str"><f t="shared" si="321"/><v/></c><c r="V4152" t="str"><f t="shared" si="322"/><v/></c><c r="AB4152" s="3" t="str"><f t="shared" si="318"/><v/></c><c r="AC4152" t="str"><f t="shared" si="323"/><v/></c></row><row r="4153" spans="19:29" x14ac:dyDescent="0.25"><c r="S4153" s="9" t="str"><f t="shared" si="319"/><v/></c><c r="T4153" t="str"><f t="shared" si="320"/><v/></c><c r="U4153" t="str"><f t="shared" si="321"/><v/></c><c r="V4153" t="str"><f t="shared" si="322"/><v/></c><c r="AB4153" s="3" t="str"><f t="shared" si="318"/><v/></c><c r="AC4153" t="str"><f t="shared" si="323"/><v/></c></row><row r="4154" spans="19:29" x14ac:dyDescent="0.25"><c r="S4154" s="9" t="str"><f t="shared" si="319"/><v/></c><c r="T4154" t="str"><f t="shared" si="320"/><v/></c><c r="U4154" t="str"><f t="shared" si="321"/><v/></c><c r="V4154" t="str"><f t="shared" si="322"/><v/></c><c r="AB4154" s="3" t="str"><f t="shared" si="318"/><v/></c><c r="AC4154" t="str"><f t="shared" si="323"/><v/></c></row><row r="4155" spans="19:29" x14ac:dyDescent="0.25"><c r="S4155" s="9" t="str"><f t="shared" si="319"/><v/></c><c r="T4155" t="str"><f t="shared" si="320"/><v/></c><c r="U4155" t="str"><f t="shared" si="321"/><v/></c><c r="V4155" t="str"><f t="shared" si="322"/><v/></c><c r="AB4155" s="3" t="str"><f t="shared" si="318"/><v/></c><c r="AC4155" t="str"><f t="shared" si="323"/><v/></c></row><row r="4156" spans="19:29" x14ac:dyDescent="0.25"><c r="S4156" s="9" t="str"><f t="shared" si="319"/><v/></c><c r="T4156" t="str"><f t="shared" si="320"/><v/></c><c r="U4156" t="str"><f t="shared" si="321"/><v/></c><c r="V4156" t="str"><f t="shared" si="322"/><v/></c><c r="AB4156" s="3" t="str"><f t="shared" si="318"/><v/></c><c r="AC4156" t="str"><f t="shared" si="323"/><v/></c></row><row r="4157" spans="19:29" x14ac:dyDescent="0.25"><c r="S4157" s="9" t="str"><f t="shared" si="319"/><v/></c><c r="T4157" t="str"><f t="shared" si="320"/><v/></c><c r="U4157" t="str"><f t="shared" si="321"/><v/></c><c r="V4157" t="str"><f t="shared" si="322"/><v/></c><c r="AB4157" s="3" t="str"><f t="shared" si="318"/><v/></c><c r="AC4157" t="str"><f t="shared" si="323"/><v/></c></row><row r="4158" spans="19:29" x14ac:dyDescent="0.25"><c r="S4158" s="9" t="str"><f t="shared" si="319"/><v/></c><c r="T4158" t="str"><f t="shared" si="320"/><v/></c><c r="U4158" t="str"><f t="shared" si="321"/><v/></c><c r="V4158" t="str"><f t="shared" si="322"/><v/></c><c r="AB4158" s="3" t="str"><f t="shared" si="318"/><v/></c><c r="AC4158" t="str"><f t="shared" si="323"/><v/></c></row><row r="4159" spans="19:29" x14ac:dyDescent="0.25"><c r="S4159" s="9" t="str"><f t="shared" si="319"/><v/></c><c r="T4159" t="str"><f t="shared" si="320"/><v/></c><c r="U4159" t="str"><f t="shared" si="321"/><v/></c><c r="V4159" t="str"><f t="shared" si="322"/><v/></c><c r="AB4159" s="3" t="str"><f t="shared" si="318"/><v/></c><c r="AC4159" t="str"><f t="shared" si="323"/><v/></c></row><row r="4160" spans="19:29" x14ac:dyDescent="0.25"><c r="S4160" s="9" t="str"><f t="shared" si="319"/><v/></c><c r="T4160" t="str"><f t="shared" si="320"/><v/></c><c r="U4160" t="str"><f t="shared" si="321"/><v/></c><c r="V4160" t="str"><f t="shared" si="322"/><v/></c><c r="AB4160" s="3" t="str"><f t="shared" si="318"/><v/></c><c r="AC4160" t="str"><f t="shared" si="323"/><v/></c></row><row r="4161" spans="19:29" x14ac:dyDescent="0.25"><c r="S4161" s="9" t="str"><f t="shared" si="319"/><v/></c><c r="T4161" t="str"><f t="shared" si="320"/><v/></c><c r="U4161" t="str"><f t="shared" si="321"/><v/></c><c r="V4161" t="str"><f t="shared" si="322"/><v/></c><c r="AB4161" s="3" t="str"><f t="shared" si="318"/><v/></c><c r="AC4161" t="str"><f t="shared" si="323"/><v/></c></row><row r="4162" spans="19:29" x14ac:dyDescent="0.25"><c r="S4162" s="9" t="str"><f t="shared" si="319"/><v/></c><c r="T4162" t="str"><f t="shared" si="320"/><v/></c><c r="U4162" t="str"><f t="shared" si="321"/><v/></c><c r="V4162" t="str"><f t="shared" si="322"/><v/></c><c r="AB4162" s="3" t="str"><f t="shared" ref="AB4162:AB4225" si="324">IF(ISBLANK(B4162),"", "10")</f><v/></c><c r="AC4162" t="str"><f t="shared" si="323"/><v/></c></row><row r="4163" spans="19:29" x14ac:dyDescent="0.25"><c r="S4163" s="9" t="str"><f t="shared" ref="S4163:S4226" si="325">IF(ISBLANK(B4163),"",B4163 )</f><v/></c><c r="T4163" t="str"><f t="shared" ref="T4163:T4226" si="326">IF(ISBLANK(B4163),"",B4163 )</f><v/></c><c r="U4163" t="str"><f t="shared" ref="U4163:U4226" si="327">IF(ISBLANK(B4163),"",B4163 )</f><v/></c><c r="V4163" t="str"><f t="shared" ref="V4163:V4226" si="328">IF(ISBLANK(B4163),"", "SHOP_SKU")</f><v/></c><c r="AB4163" s="3" t="str"><f t="shared" si="324"/><v/></c><c r="AC4163" t="str"><f t="shared" ref="AC4163:AC4226" si="329">IF(ISBLANK(B4163),"", "New")</f><v/></c></row><row r="4164" spans="19:29" x14ac:dyDescent="0.25"><c r="S4164" s="9" t="str"><f t="shared" si="325"/><v/></c><c r="T4164" t="str"><f t="shared" si="326"/><v/></c><c r="U4164" t="str"><f t="shared" si="327"/><v/></c><c r="V4164" t="str"><f t="shared" si="328"/><v/></c><c r="AB4164" s="3" t="str"><f t="shared" si="324"/><v/></c><c r="AC4164" t="str"><f t="shared" si="329"/><v/></c></row><row r="4165" spans="19:29" x14ac:dyDescent="0.25"><c r="S4165" s="9" t="str"><f t="shared" si="325"/><v/></c><c r="T4165" t="str"><f t="shared" si="326"/><v/></c><c r="U4165" t="str"><f t="shared" si="327"/><v/></c><c r="V4165" t="str"><f t="shared" si="328"/><v/></c><c r="AB4165" s="3" t="str"><f t="shared" si="324"/><v/></c><c r="AC4165" t="str"><f t="shared" si="329"/><v/></c></row><row r="4166" spans="19:29" x14ac:dyDescent="0.25"><c r="S4166" s="9" t="str"><f t="shared" si="325"/><v/></c><c r="T4166" t="str"><f t="shared" si="326"/><v/></c><c r="U4166" t="str"><f t="shared" si="327"/><v/></c><c r="V4166" t="str"><f t="shared" si="328"/><v/></c><c r="AB4166" s="3" t="str"><f t="shared" si="324"/><v/></c><c r="AC4166" t="str"><f t="shared" si="329"/><v/></c></row><row r="4167" spans="19:29" x14ac:dyDescent="0.25"><c r="S4167" s="9" t="str"><f t="shared" si="325"/><v/></c><c r="T4167" t="str"><f t="shared" si="326"/><v/></c><c r="U4167" t="str"><f t="shared" si="327"/><v/></c><c r="V4167" t="str"><f t="shared" si="328"/><v/></c><c r="AB4167" s="3" t="str"><f t="shared" si="324"/><v/></c><c r="AC4167" t="str"><f t="shared" si="329"/><v/></c></row><row r="4168" spans="19:29" x14ac:dyDescent="0.25"><c r="S4168" s="9" t="str"><f t="shared" si="325"/><v/></c><c r="T4168" t="str"><f t="shared" si="326"/><v/></c><c r="U4168" t="str"><f t="shared" si="327"/><v/></c><c r="V4168" t="str"><f t="shared" si="328"/><v/></c><c r="AB4168" s="3" t="str"><f t="shared" si="324"/><v/></c><c r="AC4168" t="str"><f t="shared" si="329"/><v/></c></row><row r="4169" spans="19:29" x14ac:dyDescent="0.25"><c r="S4169" s="9" t="str"><f t="shared" si="325"/><v/></c><c r="T4169" t="str"><f t="shared" si="326"/><v/></c><c r="U4169" t="str"><f t="shared" si="327"/><v/></c><c r="V4169" t="str"><f t="shared" si="328"/><v/></c><c r="AB4169" s="3" t="str"><f t="shared" si="324"/><v/></c><c r="AC4169" t="str"><f t="shared" si="329"/><v/></c></row><row r="4170" spans="19:29" x14ac:dyDescent="0.25"><c r="S4170" s="9" t="str"><f t="shared" si="325"/><v/></c><c r="T4170" t="str"><f t="shared" si="326"/><v/></c><c r="U4170" t="str"><f t="shared" si="327"/><v/></c><c r="V4170" t="str"><f t="shared" si="328"/><v/></c><c r="AB4170" s="3" t="str"><f t="shared" si="324"/><v/></c><c r="AC4170" t="str"><f t="shared" si="329"/><v/></c></row><row r="4171" spans="19:29" x14ac:dyDescent="0.25"><c r="S4171" s="9" t="str"><f t="shared" si="325"/><v/></c><c r="T4171" t="str"><f t="shared" si="326"/><v/></c><c r="U4171" t="str"><f t="shared" si="327"/><v/></c><c r="V4171" t="str"><f t="shared" si="328"/><v/></c><c r="AB4171" s="3" t="str"><f t="shared" si="324"/><v/></c><c r="AC4171" t="str"><f t="shared" si="329"/><v/></c></row><row r="4172" spans="19:29" x14ac:dyDescent="0.25"><c r="S4172" s="9" t="str"><f t="shared" si="325"/><v/></c><c r="T4172" t="str"><f t="shared" si="326"/><v/></c><c r="U4172" t="str"><f t="shared" si="327"/><v/></c><c r="V4172" t="str"><f t="shared" si="328"/><v/></c><c r="AB4172" s="3" t="str"><f t="shared" si="324"/><v/></c><c r="AC4172" t="str"><f t="shared" si="329"/><v/></c></row><row r="4173" spans="19:29" x14ac:dyDescent="0.25"><c r="S4173" s="9" t="str"><f t="shared" si="325"/><v/></c><c r="T4173" t="str"><f t="shared" si="326"/><v/></c><c r="U4173" t="str"><f t="shared" si="327"/><v/></c><c r="V4173" t="str"><f t="shared" si="328"/><v/></c><c r="AB4173" s="3" t="str"><f t="shared" si="324"/><v/></c><c r="AC4173" t="str"><f t="shared" si="329"/><v/></c></row><row r="4174" spans="19:29" x14ac:dyDescent="0.25"><c r="S4174" s="9" t="str"><f t="shared" si="325"/><v/></c><c r="T4174" t="str"><f t="shared" si="326"/><v/></c><c r="U4174" t="str"><f t="shared" si="327"/><v/></c><c r="V4174" t="str"><f t="shared" si="328"/><v/></c><c r="AB4174" s="3" t="str"><f t="shared" si="324"/><v/></c><c r="AC4174" t="str"><f t="shared" si="329"/><v/></c></row><row r="4175" spans="19:29" x14ac:dyDescent="0.25"><c r="S4175" s="9" t="str"><f t="shared" si="325"/><v/></c><c r="T4175" t="str"><f t="shared" si="326"/><v/></c><c r="U4175" t="str"><f t="shared" si="327"/><v/></c><c r="V4175" t="str"><f t="shared" si="328"/><v/></c><c r="AB4175" s="3" t="str"><f t="shared" si="324"/><v/></c><c r="AC4175" t="str"><f t="shared" si="329"/><v/></c></row><row r="4176" spans="19:29" x14ac:dyDescent="0.25"><c r="S4176" s="9" t="str"><f t="shared" si="325"/><v/></c><c r="T4176" t="str"><f t="shared" si="326"/><v/></c><c r="U4176" t="str"><f t="shared" si="327"/><v/></c><c r="V4176" t="str"><f t="shared" si="328"/><v/></c><c r="AB4176" s="3" t="str"><f t="shared" si="324"/><v/></c><c r="AC4176" t="str"><f t="shared" si="329"/><v/></c></row><row r="4177" spans="19:29" x14ac:dyDescent="0.25"><c r="S4177" s="9" t="str"><f t="shared" si="325"/><v/></c><c r="T4177" t="str"><f t="shared" si="326"/><v/></c><c r="U4177" t="str"><f t="shared" si="327"/><v/></c><c r="V4177" t="str"><f t="shared" si="328"/><v/></c><c r="AB4177" s="3" t="str"><f t="shared" si="324"/><v/></c><c r="AC4177" t="str"><f t="shared" si="329"/><v/></c></row><row r="4178" spans="19:29" x14ac:dyDescent="0.25"><c r="S4178" s="9" t="str"><f t="shared" si="325"/><v/></c><c r="T4178" t="str"><f t="shared" si="326"/><v/></c><c r="U4178" t="str"><f t="shared" si="327"/><v/></c><c r="V4178" t="str"><f t="shared" si="328"/><v/></c><c r="AB4178" s="3" t="str"><f t="shared" si="324"/><v/></c><c r="AC4178" t="str"><f t="shared" si="329"/><v/></c></row><row r="4179" spans="19:29" x14ac:dyDescent="0.25"><c r="S4179" s="9" t="str"><f t="shared" si="325"/><v/></c><c r="T4179" t="str"><f t="shared" si="326"/><v/></c><c r="U4179" t="str"><f t="shared" si="327"/><v/></c><c r="V4179" t="str"><f t="shared" si="328"/><v/></c><c r="AB4179" s="3" t="str"><f t="shared" si="324"/><v/></c><c r="AC4179" t="str"><f t="shared" si="329"/><v/></c></row><row r="4180" spans="19:29" x14ac:dyDescent="0.25"><c r="S4180" s="9" t="str"><f t="shared" si="325"/><v/></c><c r="T4180" t="str"><f t="shared" si="326"/><v/></c><c r="U4180" t="str"><f t="shared" si="327"/><v/></c><c r="V4180" t="str"><f t="shared" si="328"/><v/></c><c r="AB4180" s="3" t="str"><f t="shared" si="324"/><v/></c><c r="AC4180" t="str"><f t="shared" si="329"/><v/></c></row><row r="4181" spans="19:29" x14ac:dyDescent="0.25"><c r="S4181" s="9" t="str"><f t="shared" si="325"/><v/></c><c r="T4181" t="str"><f t="shared" si="326"/><v/></c><c r="U4181" t="str"><f t="shared" si="327"/><v/></c><c r="V4181" t="str"><f t="shared" si="328"/><v/></c><c r="AB4181" s="3" t="str"><f t="shared" si="324"/><v/></c><c r="AC4181" t="str"><f t="shared" si="329"/><v/></c></row><row r="4182" spans="19:29" x14ac:dyDescent="0.25"><c r="S4182" s="9" t="str"><f t="shared" si="325"/><v/></c><c r="T4182" t="str"><f t="shared" si="326"/><v/></c><c r="U4182" t="str"><f t="shared" si="327"/><v/></c><c r="V4182" t="str"><f t="shared" si="328"/><v/></c><c r="AB4182" s="3" t="str"><f t="shared" si="324"/><v/></c><c r="AC4182" t="str"><f t="shared" si="329"/><v/></c></row><row r="4183" spans="19:29" x14ac:dyDescent="0.25"><c r="S4183" s="9" t="str"><f t="shared" si="325"/><v/></c><c r="T4183" t="str"><f t="shared" si="326"/><v/></c><c r="U4183" t="str"><f t="shared" si="327"/><v/></c><c r="V4183" t="str"><f t="shared" si="328"/><v/></c><c r="AB4183" s="3" t="str"><f t="shared" si="324"/><v/></c><c r="AC4183" t="str"><f t="shared" si="329"/><v/></c></row><row r="4184" spans="19:29" x14ac:dyDescent="0.25"><c r="S4184" s="9" t="str"><f t="shared" si="325"/><v/></c><c r="T4184" t="str"><f t="shared" si="326"/><v/></c><c r="U4184" t="str"><f t="shared" si="327"/><v/></c><c r="V4184" t="str"><f t="shared" si="328"/><v/></c><c r="AB4184" s="3" t="str"><f t="shared" si="324"/><v/></c><c r="AC4184" t="str"><f t="shared" si="329"/><v/></c></row><row r="4185" spans="19:29" x14ac:dyDescent="0.25"><c r="S4185" s="9" t="str"><f t="shared" si="325"/><v/></c><c r="T4185" t="str"><f t="shared" si="326"/><v/></c><c r="U4185" t="str"><f t="shared" si="327"/><v/></c><c r="V4185" t="str"><f t="shared" si="328"/><v/></c><c r="AB4185" s="3" t="str"><f t="shared" si="324"/><v/></c><c r="AC4185" t="str"><f t="shared" si="329"/><v/></c></row><row r="4186" spans="19:29" x14ac:dyDescent="0.25"><c r="S4186" s="9" t="str"><f t="shared" si="325"/><v/></c><c r="T4186" t="str"><f t="shared" si="326"/><v/></c><c r="U4186" t="str"><f t="shared" si="327"/><v/></c><c r="V4186" t="str"><f t="shared" si="328"/><v/></c><c r="AB4186" s="3" t="str"><f t="shared" si="324"/><v/></c><c r="AC4186" t="str"><f t="shared" si="329"/><v/></c></row><row r="4187" spans="19:29" x14ac:dyDescent="0.25"><c r="S4187" s="9" t="str"><f t="shared" si="325"/><v/></c><c r="T4187" t="str"><f t="shared" si="326"/><v/></c><c r="U4187" t="str"><f t="shared" si="327"/><v/></c><c r="V4187" t="str"><f t="shared" si="328"/><v/></c><c r="AB4187" s="3" t="str"><f t="shared" si="324"/><v/></c><c r="AC4187" t="str"><f t="shared" si="329"/><v/></c></row><row r="4188" spans="19:29" x14ac:dyDescent="0.25"><c r="S4188" s="9" t="str"><f t="shared" si="325"/><v/></c><c r="T4188" t="str"><f t="shared" si="326"/><v/></c><c r="U4188" t="str"><f t="shared" si="327"/><v/></c><c r="V4188" t="str"><f t="shared" si="328"/><v/></c><c r="AB4188" s="3" t="str"><f t="shared" si="324"/><v/></c><c r="AC4188" t="str"><f t="shared" si="329"/><v/></c></row><row r="4189" spans="19:29" x14ac:dyDescent="0.25"><c r="S4189" s="9" t="str"><f t="shared" si="325"/><v/></c><c r="T4189" t="str"><f t="shared" si="326"/><v/></c><c r="U4189" t="str"><f t="shared" si="327"/><v/></c><c r="V4189" t="str"><f t="shared" si="328"/><v/></c><c r="AB4189" s="3" t="str"><f t="shared" si="324"/><v/></c><c r="AC4189" t="str"><f t="shared" si="329"/><v/></c></row><row r="4190" spans="19:29" x14ac:dyDescent="0.25"><c r="S4190" s="9" t="str"><f t="shared" si="325"/><v/></c><c r="T4190" t="str"><f t="shared" si="326"/><v/></c><c r="U4190" t="str"><f t="shared" si="327"/><v/></c><c r="V4190" t="str"><f t="shared" si="328"/><v/></c><c r="AB4190" s="3" t="str"><f t="shared" si="324"/><v/></c><c r="AC4190" t="str"><f t="shared" si="329"/><v/></c></row><row r="4191" spans="19:29" x14ac:dyDescent="0.25"><c r="S4191" s="9" t="str"><f t="shared" si="325"/><v/></c><c r="T4191" t="str"><f t="shared" si="326"/><v/></c><c r="U4191" t="str"><f t="shared" si="327"/><v/></c><c r="V4191" t="str"><f t="shared" si="328"/><v/></c><c r="AB4191" s="3" t="str"><f t="shared" si="324"/><v/></c><c r="AC4191" t="str"><f t="shared" si="329"/><v/></c></row><row r="4192" spans="19:29" x14ac:dyDescent="0.25"><c r="S4192" s="9" t="str"><f t="shared" si="325"/><v/></c><c r="T4192" t="str"><f t="shared" si="326"/><v/></c><c r="U4192" t="str"><f t="shared" si="327"/><v/></c><c r="V4192" t="str"><f t="shared" si="328"/><v/></c><c r="AB4192" s="3" t="str"><f t="shared" si="324"/><v/></c><c r="AC4192" t="str"><f t="shared" si="329"/><v/></c></row><row r="4193" spans="19:29" x14ac:dyDescent="0.25"><c r="S4193" s="9" t="str"><f t="shared" si="325"/><v/></c><c r="T4193" t="str"><f t="shared" si="326"/><v/></c><c r="U4193" t="str"><f t="shared" si="327"/><v/></c><c r="V4193" t="str"><f t="shared" si="328"/><v/></c><c r="AB4193" s="3" t="str"><f t="shared" si="324"/><v/></c><c r="AC4193" t="str"><f t="shared" si="329"/><v/></c></row><row r="4194" spans="19:29" x14ac:dyDescent="0.25"><c r="S4194" s="9" t="str"><f t="shared" si="325"/><v/></c><c r="T4194" t="str"><f t="shared" si="326"/><v/></c><c r="U4194" t="str"><f t="shared" si="327"/><v/></c><c r="V4194" t="str"><f t="shared" si="328"/><v/></c><c r="AB4194" s="3" t="str"><f t="shared" si="324"/><v/></c><c r="AC4194" t="str"><f t="shared" si="329"/><v/></c></row><row r="4195" spans="19:29" x14ac:dyDescent="0.25"><c r="S4195" s="9" t="str"><f t="shared" si="325"/><v/></c><c r="T4195" t="str"><f t="shared" si="326"/><v/></c><c r="U4195" t="str"><f t="shared" si="327"/><v/></c><c r="V4195" t="str"><f t="shared" si="328"/><v/></c><c r="AB4195" s="3" t="str"><f t="shared" si="324"/><v/></c><c r="AC4195" t="str"><f t="shared" si="329"/><v/></c></row><row r="4196" spans="19:29" x14ac:dyDescent="0.25"><c r="S4196" s="9" t="str"><f t="shared" si="325"/><v/></c><c r="T4196" t="str"><f t="shared" si="326"/><v/></c><c r="U4196" t="str"><f t="shared" si="327"/><v/></c><c r="V4196" t="str"><f t="shared" si="328"/><v/></c><c r="AB4196" s="3" t="str"><f t="shared" si="324"/><v/></c><c r="AC4196" t="str"><f t="shared" si="329"/><v/></c></row><row r="4197" spans="19:29" x14ac:dyDescent="0.25"><c r="S4197" s="9" t="str"><f t="shared" si="325"/><v/></c><c r="T4197" t="str"><f t="shared" si="326"/><v/></c><c r="U4197" t="str"><f t="shared" si="327"/><v/></c><c r="V4197" t="str"><f t="shared" si="328"/><v/></c><c r="AB4197" s="3" t="str"><f t="shared" si="324"/><v/></c><c r="AC4197" t="str"><f t="shared" si="329"/><v/></c></row><row r="4198" spans="19:29" x14ac:dyDescent="0.25"><c r="S4198" s="9" t="str"><f t="shared" si="325"/><v/></c><c r="T4198" t="str"><f t="shared" si="326"/><v/></c><c r="U4198" t="str"><f t="shared" si="327"/><v/></c><c r="V4198" t="str"><f t="shared" si="328"/><v/></c><c r="AB4198" s="3" t="str"><f t="shared" si="324"/><v/></c><c r="AC4198" t="str"><f t="shared" si="329"/><v/></c></row><row r="4199" spans="19:29" x14ac:dyDescent="0.25"><c r="S4199" s="9" t="str"><f t="shared" si="325"/><v/></c><c r="T4199" t="str"><f t="shared" si="326"/><v/></c><c r="U4199" t="str"><f t="shared" si="327"/><v/></c><c r="V4199" t="str"><f t="shared" si="328"/><v/></c><c r="AB4199" s="3" t="str"><f t="shared" si="324"/><v/></c><c r="AC4199" t="str"><f t="shared" si="329"/><v/></c></row><row r="4200" spans="19:29" x14ac:dyDescent="0.25"><c r="S4200" s="9" t="str"><f t="shared" si="325"/><v/></c><c r="T4200" t="str"><f t="shared" si="326"/><v/></c><c r="U4200" t="str"><f t="shared" si="327"/><v/></c><c r="V4200" t="str"><f t="shared" si="328"/><v/></c><c r="AB4200" s="3" t="str"><f t="shared" si="324"/><v/></c><c r="AC4200" t="str"><f t="shared" si="329"/><v/></c></row><row r="4201" spans="19:29" x14ac:dyDescent="0.25"><c r="S4201" s="9" t="str"><f t="shared" si="325"/><v/></c><c r="T4201" t="str"><f t="shared" si="326"/><v/></c><c r="U4201" t="str"><f t="shared" si="327"/><v/></c><c r="V4201" t="str"><f t="shared" si="328"/><v/></c><c r="AB4201" s="3" t="str"><f t="shared" si="324"/><v/></c><c r="AC4201" t="str"><f t="shared" si="329"/><v/></c></row><row r="4202" spans="19:29" x14ac:dyDescent="0.25"><c r="S4202" s="9" t="str"><f t="shared" si="325"/><v/></c><c r="T4202" t="str"><f t="shared" si="326"/><v/></c><c r="U4202" t="str"><f t="shared" si="327"/><v/></c><c r="V4202" t="str"><f t="shared" si="328"/><v/></c><c r="AB4202" s="3" t="str"><f t="shared" si="324"/><v/></c><c r="AC4202" t="str"><f t="shared" si="329"/><v/></c></row><row r="4203" spans="19:29" x14ac:dyDescent="0.25"><c r="S4203" s="9" t="str"><f t="shared" si="325"/><v/></c><c r="T4203" t="str"><f t="shared" si="326"/><v/></c><c r="U4203" t="str"><f t="shared" si="327"/><v/></c><c r="V4203" t="str"><f t="shared" si="328"/><v/></c><c r="AB4203" s="3" t="str"><f t="shared" si="324"/><v/></c><c r="AC4203" t="str"><f t="shared" si="329"/><v/></c></row><row r="4204" spans="19:29" x14ac:dyDescent="0.25"><c r="S4204" s="9" t="str"><f t="shared" si="325"/><v/></c><c r="T4204" t="str"><f t="shared" si="326"/><v/></c><c r="U4204" t="str"><f t="shared" si="327"/><v/></c><c r="V4204" t="str"><f t="shared" si="328"/><v/></c><c r="AB4204" s="3" t="str"><f t="shared" si="324"/><v/></c><c r="AC4204" t="str"><f t="shared" si="329"/><v/></c></row><row r="4205" spans="19:29" x14ac:dyDescent="0.25"><c r="S4205" s="9" t="str"><f t="shared" si="325"/><v/></c><c r="T4205" t="str"><f t="shared" si="326"/><v/></c><c r="U4205" t="str"><f t="shared" si="327"/><v/></c><c r="V4205" t="str"><f t="shared" si="328"/><v/></c><c r="AB4205" s="3" t="str"><f t="shared" si="324"/><v/></c><c r="AC4205" t="str"><f t="shared" si="329"/><v/></c></row><row r="4206" spans="19:29" x14ac:dyDescent="0.25"><c r="S4206" s="9" t="str"><f t="shared" si="325"/><v/></c><c r="T4206" t="str"><f t="shared" si="326"/><v/></c><c r="U4206" t="str"><f t="shared" si="327"/><v/></c><c r="V4206" t="str"><f t="shared" si="328"/><v/></c><c r="AB4206" s="3" t="str"><f t="shared" si="324"/><v/></c><c r="AC4206" t="str"><f t="shared" si="329"/><v/></c></row><row r="4207" spans="19:29" x14ac:dyDescent="0.25"><c r="S4207" s="9" t="str"><f t="shared" si="325"/><v/></c><c r="T4207" t="str"><f t="shared" si="326"/><v/></c><c r="U4207" t="str"><f t="shared" si="327"/><v/></c><c r="V4207" t="str"><f t="shared" si="328"/><v/></c><c r="AB4207" s="3" t="str"><f t="shared" si="324"/><v/></c><c r="AC4207" t="str"><f t="shared" si="329"/><v/></c></row><row r="4208" spans="19:29" x14ac:dyDescent="0.25"><c r="S4208" s="9" t="str"><f t="shared" si="325"/><v/></c><c r="T4208" t="str"><f t="shared" si="326"/><v/></c><c r="U4208" t="str"><f t="shared" si="327"/><v/></c><c r="V4208" t="str"><f t="shared" si="328"/><v/></c><c r="AB4208" s="3" t="str"><f t="shared" si="324"/><v/></c><c r="AC4208" t="str"><f t="shared" si="329"/><v/></c></row><row r="4209" spans="19:29" x14ac:dyDescent="0.25"><c r="S4209" s="9" t="str"><f t="shared" si="325"/><v/></c><c r="T4209" t="str"><f t="shared" si="326"/><v/></c><c r="U4209" t="str"><f t="shared" si="327"/><v/></c><c r="V4209" t="str"><f t="shared" si="328"/><v/></c><c r="AB4209" s="3" t="str"><f t="shared" si="324"/><v/></c><c r="AC4209" t="str"><f t="shared" si="329"/><v/></c></row><row r="4210" spans="19:29" x14ac:dyDescent="0.25"><c r="S4210" s="9" t="str"><f t="shared" si="325"/><v/></c><c r="T4210" t="str"><f t="shared" si="326"/><v/></c><c r="U4210" t="str"><f t="shared" si="327"/><v/></c><c r="V4210" t="str"><f t="shared" si="328"/><v/></c><c r="AB4210" s="3" t="str"><f t="shared" si="324"/><v/></c><c r="AC4210" t="str"><f t="shared" si="329"/><v/></c></row><row r="4211" spans="19:29" x14ac:dyDescent="0.25"><c r="S4211" s="9" t="str"><f t="shared" si="325"/><v/></c><c r="T4211" t="str"><f t="shared" si="326"/><v/></c><c r="U4211" t="str"><f t="shared" si="327"/><v/></c><c r="V4211" t="str"><f t="shared" si="328"/><v/></c><c r="AB4211" s="3" t="str"><f t="shared" si="324"/><v/></c><c r="AC4211" t="str"><f t="shared" si="329"/><v/></c></row><row r="4212" spans="19:29" x14ac:dyDescent="0.25"><c r="S4212" s="9" t="str"><f t="shared" si="325"/><v/></c><c r="T4212" t="str"><f t="shared" si="326"/><v/></c><c r="U4212" t="str"><f t="shared" si="327"/><v/></c><c r="V4212" t="str"><f t="shared" si="328"/><v/></c><c r="AB4212" s="3" t="str"><f t="shared" si="324"/><v/></c><c r="AC4212" t="str"><f t="shared" si="329"/><v/></c></row><row r="4213" spans="19:29" x14ac:dyDescent="0.25"><c r="S4213" s="9" t="str"><f t="shared" si="325"/><v/></c><c r="T4213" t="str"><f t="shared" si="326"/><v/></c><c r="U4213" t="str"><f t="shared" si="327"/><v/></c><c r="V4213" t="str"><f t="shared" si="328"/><v/></c><c r="AB4213" s="3" t="str"><f t="shared" si="324"/><v/></c><c r="AC4213" t="str"><f t="shared" si="329"/><v/></c></row><row r="4214" spans="19:29" x14ac:dyDescent="0.25"><c r="S4214" s="9" t="str"><f t="shared" si="325"/><v/></c><c r="T4214" t="str"><f t="shared" si="326"/><v/></c><c r="U4214" t="str"><f t="shared" si="327"/><v/></c><c r="V4214" t="str"><f t="shared" si="328"/><v/></c><c r="AB4214" s="3" t="str"><f t="shared" si="324"/><v/></c><c r="AC4214" t="str"><f t="shared" si="329"/><v/></c></row><row r="4215" spans="19:29" x14ac:dyDescent="0.25"><c r="S4215" s="9" t="str"><f t="shared" si="325"/><v/></c><c r="T4215" t="str"><f t="shared" si="326"/><v/></c><c r="U4215" t="str"><f t="shared" si="327"/><v/></c><c r="V4215" t="str"><f t="shared" si="328"/><v/></c><c r="AB4215" s="3" t="str"><f t="shared" si="324"/><v/></c><c r="AC4215" t="str"><f t="shared" si="329"/><v/></c></row><row r="4216" spans="19:29" x14ac:dyDescent="0.25"><c r="S4216" s="9" t="str"><f t="shared" si="325"/><v/></c><c r="T4216" t="str"><f t="shared" si="326"/><v/></c><c r="U4216" t="str"><f t="shared" si="327"/><v/></c><c r="V4216" t="str"><f t="shared" si="328"/><v/></c><c r="AB4216" s="3" t="str"><f t="shared" si="324"/><v/></c><c r="AC4216" t="str"><f t="shared" si="329"/><v/></c></row><row r="4217" spans="19:29" x14ac:dyDescent="0.25"><c r="S4217" s="9" t="str"><f t="shared" si="325"/><v/></c><c r="T4217" t="str"><f t="shared" si="326"/><v/></c><c r="U4217" t="str"><f t="shared" si="327"/><v/></c><c r="V4217" t="str"><f t="shared" si="328"/><v/></c><c r="AB4217" s="3" t="str"><f t="shared" si="324"/><v/></c><c r="AC4217" t="str"><f t="shared" si="329"/><v/></c></row><row r="4218" spans="19:29" x14ac:dyDescent="0.25"><c r="S4218" s="9" t="str"><f t="shared" si="325"/><v/></c><c r="T4218" t="str"><f t="shared" si="326"/><v/></c><c r="U4218" t="str"><f t="shared" si="327"/><v/></c><c r="V4218" t="str"><f t="shared" si="328"/><v/></c><c r="AB4218" s="3" t="str"><f t="shared" si="324"/><v/></c><c r="AC4218" t="str"><f t="shared" si="329"/><v/></c></row><row r="4219" spans="19:29" x14ac:dyDescent="0.25"><c r="S4219" s="9" t="str"><f t="shared" si="325"/><v/></c><c r="T4219" t="str"><f t="shared" si="326"/><v/></c><c r="U4219" t="str"><f t="shared" si="327"/><v/></c><c r="V4219" t="str"><f t="shared" si="328"/><v/></c><c r="AB4219" s="3" t="str"><f t="shared" si="324"/><v/></c><c r="AC4219" t="str"><f t="shared" si="329"/><v/></c></row><row r="4220" spans="19:29" x14ac:dyDescent="0.25"><c r="S4220" s="9" t="str"><f t="shared" si="325"/><v/></c><c r="T4220" t="str"><f t="shared" si="326"/><v/></c><c r="U4220" t="str"><f t="shared" si="327"/><v/></c><c r="V4220" t="str"><f t="shared" si="328"/><v/></c><c r="AB4220" s="3" t="str"><f t="shared" si="324"/><v/></c><c r="AC4220" t="str"><f t="shared" si="329"/><v/></c></row><row r="4221" spans="19:29" x14ac:dyDescent="0.25"><c r="S4221" s="9" t="str"><f t="shared" si="325"/><v/></c><c r="T4221" t="str"><f t="shared" si="326"/><v/></c><c r="U4221" t="str"><f t="shared" si="327"/><v/></c><c r="V4221" t="str"><f t="shared" si="328"/><v/></c><c r="AB4221" s="3" t="str"><f t="shared" si="324"/><v/></c><c r="AC4221" t="str"><f t="shared" si="329"/><v/></c></row><row r="4222" spans="19:29" x14ac:dyDescent="0.25"><c r="S4222" s="9" t="str"><f t="shared" si="325"/><v/></c><c r="T4222" t="str"><f t="shared" si="326"/><v/></c><c r="U4222" t="str"><f t="shared" si="327"/><v/></c><c r="V4222" t="str"><f t="shared" si="328"/><v/></c><c r="AB4222" s="3" t="str"><f t="shared" si="324"/><v/></c><c r="AC4222" t="str"><f t="shared" si="329"/><v/></c></row><row r="4223" spans="19:29" x14ac:dyDescent="0.25"><c r="S4223" s="9" t="str"><f t="shared" si="325"/><v/></c><c r="T4223" t="str"><f t="shared" si="326"/><v/></c><c r="U4223" t="str"><f t="shared" si="327"/><v/></c><c r="V4223" t="str"><f t="shared" si="328"/><v/></c><c r="AB4223" s="3" t="str"><f t="shared" si="324"/><v/></c><c r="AC4223" t="str"><f t="shared" si="329"/><v/></c></row><row r="4224" spans="19:29" x14ac:dyDescent="0.25"><c r="S4224" s="9" t="str"><f t="shared" si="325"/><v/></c><c r="T4224" t="str"><f t="shared" si="326"/><v/></c><c r="U4224" t="str"><f t="shared" si="327"/><v/></c><c r="V4224" t="str"><f t="shared" si="328"/><v/></c><c r="AB4224" s="3" t="str"><f t="shared" si="324"/><v/></c><c r="AC4224" t="str"><f t="shared" si="329"/><v/></c></row><row r="4225" spans="19:29" x14ac:dyDescent="0.25"><c r="S4225" s="9" t="str"><f t="shared" si="325"/><v/></c><c r="T4225" t="str"><f t="shared" si="326"/><v/></c><c r="U4225" t="str"><f t="shared" si="327"/><v/></c><c r="V4225" t="str"><f t="shared" si="328"/><v/></c><c r="AB4225" s="3" t="str"><f t="shared" si="324"/><v/></c><c r="AC4225" t="str"><f t="shared" si="329"/><v/></c></row><row r="4226" spans="19:29" x14ac:dyDescent="0.25"><c r="S4226" s="9" t="str"><f t="shared" si="325"/><v/></c><c r="T4226" t="str"><f t="shared" si="326"/><v/></c><c r="U4226" t="str"><f t="shared" si="327"/><v/></c><c r="V4226" t="str"><f t="shared" si="328"/><v/></c><c r="AB4226" s="3" t="str"><f t="shared" ref="AB4226:AB4289" si="330">IF(ISBLANK(B4226),"", "10")</f><v/></c><c r="AC4226" t="str"><f t="shared" si="329"/><v/></c></row><row r="4227" spans="19:29" x14ac:dyDescent="0.25"><c r="S4227" s="9" t="str"><f t="shared" ref="S4227:S4290" si="331">IF(ISBLANK(B4227),"",B4227 )</f><v/></c><c r="T4227" t="str"><f t="shared" ref="T4227:T4290" si="332">IF(ISBLANK(B4227),"",B4227 )</f><v/></c><c r="U4227" t="str"><f t="shared" ref="U4227:U4290" si="333">IF(ISBLANK(B4227),"",B4227 )</f><v/></c><c r="V4227" t="str"><f t="shared" ref="V4227:V4290" si="334">IF(ISBLANK(B4227),"", "SHOP_SKU")</f><v/></c><c r="AB4227" s="3" t="str"><f t="shared" si="330"/><v/></c><c r="AC4227" t="str"><f t="shared" ref="AC4227:AC4290" si="335">IF(ISBLANK(B4227),"", "New")</f><v/></c></row><row r="4228" spans="19:29" x14ac:dyDescent="0.25"><c r="S4228" s="9" t="str"><f t="shared" si="331"/><v/></c><c r="T4228" t="str"><f t="shared" si="332"/><v/></c><c r="U4228" t="str"><f t="shared" si="333"/><v/></c><c r="V4228" t="str"><f t="shared" si="334"/><v/></c><c r="AB4228" s="3" t="str"><f t="shared" si="330"/><v/></c><c r="AC4228" t="str"><f t="shared" si="335"/><v/></c></row><row r="4229" spans="19:29" x14ac:dyDescent="0.25"><c r="S4229" s="9" t="str"><f t="shared" si="331"/><v/></c><c r="T4229" t="str"><f t="shared" si="332"/><v/></c><c r="U4229" t="str"><f t="shared" si="333"/><v/></c><c r="V4229" t="str"><f t="shared" si="334"/><v/></c><c r="AB4229" s="3" t="str"><f t="shared" si="330"/><v/></c><c r="AC4229" t="str"><f t="shared" si="335"/><v/></c></row><row r="4230" spans="19:29" x14ac:dyDescent="0.25"><c r="S4230" s="9" t="str"><f t="shared" si="331"/><v/></c><c r="T4230" t="str"><f t="shared" si="332"/><v/></c><c r="U4230" t="str"><f t="shared" si="333"/><v/></c><c r="V4230" t="str"><f t="shared" si="334"/><v/></c><c r="AB4230" s="3" t="str"><f t="shared" si="330"/><v/></c><c r="AC4230" t="str"><f t="shared" si="335"/><v/></c></row><row r="4231" spans="19:29" x14ac:dyDescent="0.25"><c r="S4231" s="9" t="str"><f t="shared" si="331"/><v/></c><c r="T4231" t="str"><f t="shared" si="332"/><v/></c><c r="U4231" t="str"><f t="shared" si="333"/><v/></c><c r="V4231" t="str"><f t="shared" si="334"/><v/></c><c r="AB4231" s="3" t="str"><f t="shared" si="330"/><v/></c><c r="AC4231" t="str"><f t="shared" si="335"/><v/></c></row><row r="4232" spans="19:29" x14ac:dyDescent="0.25"><c r="S4232" s="9" t="str"><f t="shared" si="331"/><v/></c><c r="T4232" t="str"><f t="shared" si="332"/><v/></c><c r="U4232" t="str"><f t="shared" si="333"/><v/></c><c r="V4232" t="str"><f t="shared" si="334"/><v/></c><c r="AB4232" s="3" t="str"><f t="shared" si="330"/><v/></c><c r="AC4232" t="str"><f t="shared" si="335"/><v/></c></row><row r="4233" spans="19:29" x14ac:dyDescent="0.25"><c r="S4233" s="9" t="str"><f t="shared" si="331"/><v/></c><c r="T4233" t="str"><f t="shared" si="332"/><v/></c><c r="U4233" t="str"><f t="shared" si="333"/><v/></c><c r="V4233" t="str"><f t="shared" si="334"/><v/></c><c r="AB4233" s="3" t="str"><f t="shared" si="330"/><v/></c><c r="AC4233" t="str"><f t="shared" si="335"/><v/></c></row><row r="4234" spans="19:29" x14ac:dyDescent="0.25"><c r="S4234" s="9" t="str"><f t="shared" si="331"/><v/></c><c r="T4234" t="str"><f t="shared" si="332"/><v/></c><c r="U4234" t="str"><f t="shared" si="333"/><v/></c><c r="V4234" t="str"><f t="shared" si="334"/><v/></c><c r="AB4234" s="3" t="str"><f t="shared" si="330"/><v/></c><c r="AC4234" t="str"><f t="shared" si="335"/><v/></c></row><row r="4235" spans="19:29" x14ac:dyDescent="0.25"><c r="S4235" s="9" t="str"><f t="shared" si="331"/><v/></c><c r="T4235" t="str"><f t="shared" si="332"/><v/></c><c r="U4235" t="str"><f t="shared" si="333"/><v/></c><c r="V4235" t="str"><f t="shared" si="334"/><v/></c><c r="AB4235" s="3" t="str"><f t="shared" si="330"/><v/></c><c r="AC4235" t="str"><f t="shared" si="335"/><v/></c></row><row r="4236" spans="19:29" x14ac:dyDescent="0.25"><c r="S4236" s="9" t="str"><f t="shared" si="331"/><v/></c><c r="T4236" t="str"><f t="shared" si="332"/><v/></c><c r="U4236" t="str"><f t="shared" si="333"/><v/></c><c r="V4236" t="str"><f t="shared" si="334"/><v/></c><c r="AB4236" s="3" t="str"><f t="shared" si="330"/><v/></c><c r="AC4236" t="str"><f t="shared" si="335"/><v/></c></row><row r="4237" spans="19:29" x14ac:dyDescent="0.25"><c r="S4237" s="9" t="str"><f t="shared" si="331"/><v/></c><c r="T4237" t="str"><f t="shared" si="332"/><v/></c><c r="U4237" t="str"><f t="shared" si="333"/><v/></c><c r="V4237" t="str"><f t="shared" si="334"/><v/></c><c r="AB4237" s="3" t="str"><f t="shared" si="330"/><v/></c><c r="AC4237" t="str"><f t="shared" si="335"/><v/></c></row><row r="4238" spans="19:29" x14ac:dyDescent="0.25"><c r="S4238" s="9" t="str"><f t="shared" si="331"/><v/></c><c r="T4238" t="str"><f t="shared" si="332"/><v/></c><c r="U4238" t="str"><f t="shared" si="333"/><v/></c><c r="V4238" t="str"><f t="shared" si="334"/><v/></c><c r="AB4238" s="3" t="str"><f t="shared" si="330"/><v/></c><c r="AC4238" t="str"><f t="shared" si="335"/><v/></c></row><row r="4239" spans="19:29" x14ac:dyDescent="0.25"><c r="S4239" s="9" t="str"><f t="shared" si="331"/><v/></c><c r="T4239" t="str"><f t="shared" si="332"/><v/></c><c r="U4239" t="str"><f t="shared" si="333"/><v/></c><c r="V4239" t="str"><f t="shared" si="334"/><v/></c><c r="AB4239" s="3" t="str"><f t="shared" si="330"/><v/></c><c r="AC4239" t="str"><f t="shared" si="335"/><v/></c></row><row r="4240" spans="19:29" x14ac:dyDescent="0.25"><c r="S4240" s="9" t="str"><f t="shared" si="331"/><v/></c><c r="T4240" t="str"><f t="shared" si="332"/><v/></c><c r="U4240" t="str"><f t="shared" si="333"/><v/></c><c r="V4240" t="str"><f t="shared" si="334"/><v/></c><c r="AB4240" s="3" t="str"><f t="shared" si="330"/><v/></c><c r="AC4240" t="str"><f t="shared" si="335"/><v/></c></row><row r="4241" spans="19:29" x14ac:dyDescent="0.25"><c r="S4241" s="9" t="str"><f t="shared" si="331"/><v/></c><c r="T4241" t="str"><f t="shared" si="332"/><v/></c><c r="U4241" t="str"><f t="shared" si="333"/><v/></c><c r="V4241" t="str"><f t="shared" si="334"/><v/></c><c r="AB4241" s="3" t="str"><f t="shared" si="330"/><v/></c><c r="AC4241" t="str"><f t="shared" si="335"/><v/></c></row><row r="4242" spans="19:29" x14ac:dyDescent="0.25"><c r="S4242" s="9" t="str"><f t="shared" si="331"/><v/></c><c r="T4242" t="str"><f t="shared" si="332"/><v/></c><c r="U4242" t="str"><f t="shared" si="333"/><v/></c><c r="V4242" t="str"><f t="shared" si="334"/><v/></c><c r="AB4242" s="3" t="str"><f t="shared" si="330"/><v/></c><c r="AC4242" t="str"><f t="shared" si="335"/><v/></c></row><row r="4243" spans="19:29" x14ac:dyDescent="0.25"><c r="S4243" s="9" t="str"><f t="shared" si="331"/><v/></c><c r="T4243" t="str"><f t="shared" si="332"/><v/></c><c r="U4243" t="str"><f t="shared" si="333"/><v/></c><c r="V4243" t="str"><f t="shared" si="334"/><v/></c><c r="AB4243" s="3" t="str"><f t="shared" si="330"/><v/></c><c r="AC4243" t="str"><f t="shared" si="335"/><v/></c></row><row r="4244" spans="19:29" x14ac:dyDescent="0.25"><c r="S4244" s="9" t="str"><f t="shared" si="331"/><v/></c><c r="T4244" t="str"><f t="shared" si="332"/><v/></c><c r="U4244" t="str"><f t="shared" si="333"/><v/></c><c r="V4244" t="str"><f t="shared" si="334"/><v/></c><c r="AB4244" s="3" t="str"><f t="shared" si="330"/><v/></c><c r="AC4244" t="str"><f t="shared" si="335"/><v/></c></row><row r="4245" spans="19:29" x14ac:dyDescent="0.25"><c r="S4245" s="9" t="str"><f t="shared" si="331"/><v/></c><c r="T4245" t="str"><f t="shared" si="332"/><v/></c><c r="U4245" t="str"><f t="shared" si="333"/><v/></c><c r="V4245" t="str"><f t="shared" si="334"/><v/></c><c r="AB4245" s="3" t="str"><f t="shared" si="330"/><v/></c><c r="AC4245" t="str"><f t="shared" si="335"/><v/></c></row><row r="4246" spans="19:29" x14ac:dyDescent="0.25"><c r="S4246" s="9" t="str"><f t="shared" si="331"/><v/></c><c r="T4246" t="str"><f t="shared" si="332"/><v/></c><c r="U4246" t="str"><f t="shared" si="333"/><v/></c><c r="V4246" t="str"><f t="shared" si="334"/><v/></c><c r="AB4246" s="3" t="str"><f t="shared" si="330"/><v/></c><c r="AC4246" t="str"><f t="shared" si="335"/><v/></c></row><row r="4247" spans="19:29" x14ac:dyDescent="0.25"><c r="S4247" s="9" t="str"><f t="shared" si="331"/><v/></c><c r="T4247" t="str"><f t="shared" si="332"/><v/></c><c r="U4247" t="str"><f t="shared" si="333"/><v/></c><c r="V4247" t="str"><f t="shared" si="334"/><v/></c><c r="AB4247" s="3" t="str"><f t="shared" si="330"/><v/></c><c r="AC4247" t="str"><f t="shared" si="335"/><v/></c></row><row r="4248" spans="19:29" x14ac:dyDescent="0.25"><c r="S4248" s="9" t="str"><f t="shared" si="331"/><v/></c><c r="T4248" t="str"><f t="shared" si="332"/><v/></c><c r="U4248" t="str"><f t="shared" si="333"/><v/></c><c r="V4248" t="str"><f t="shared" si="334"/><v/></c><c r="AB4248" s="3" t="str"><f t="shared" si="330"/><v/></c><c r="AC4248" t="str"><f t="shared" si="335"/><v/></c></row><row r="4249" spans="19:29" x14ac:dyDescent="0.25"><c r="S4249" s="9" t="str"><f t="shared" si="331"/><v/></c><c r="T4249" t="str"><f t="shared" si="332"/><v/></c><c r="U4249" t="str"><f t="shared" si="333"/><v/></c><c r="V4249" t="str"><f t="shared" si="334"/><v/></c><c r="AB4249" s="3" t="str"><f t="shared" si="330"/><v/></c><c r="AC4249" t="str"><f t="shared" si="335"/><v/></c></row><row r="4250" spans="19:29" x14ac:dyDescent="0.25"><c r="S4250" s="9" t="str"><f t="shared" si="331"/><v/></c><c r="T4250" t="str"><f t="shared" si="332"/><v/></c><c r="U4250" t="str"><f t="shared" si="333"/><v/></c><c r="V4250" t="str"><f t="shared" si="334"/><v/></c><c r="AB4250" s="3" t="str"><f t="shared" si="330"/><v/></c><c r="AC4250" t="str"><f t="shared" si="335"/><v/></c></row><row r="4251" spans="19:29" x14ac:dyDescent="0.25"><c r="S4251" s="9" t="str"><f t="shared" si="331"/><v/></c><c r="T4251" t="str"><f t="shared" si="332"/><v/></c><c r="U4251" t="str"><f t="shared" si="333"/><v/></c><c r="V4251" t="str"><f t="shared" si="334"/><v/></c><c r="AB4251" s="3" t="str"><f t="shared" si="330"/><v/></c><c r="AC4251" t="str"><f t="shared" si="335"/><v/></c></row><row r="4252" spans="19:29" x14ac:dyDescent="0.25"><c r="S4252" s="9" t="str"><f t="shared" si="331"/><v/></c><c r="T4252" t="str"><f t="shared" si="332"/><v/></c><c r="U4252" t="str"><f t="shared" si="333"/><v/></c><c r="V4252" t="str"><f t="shared" si="334"/><v/></c><c r="AB4252" s="3" t="str"><f t="shared" si="330"/><v/></c><c r="AC4252" t="str"><f t="shared" si="335"/><v/></c></row><row r="4253" spans="19:29" x14ac:dyDescent="0.25"><c r="S4253" s="9" t="str"><f t="shared" si="331"/><v/></c><c r="T4253" t="str"><f t="shared" si="332"/><v/></c><c r="U4253" t="str"><f t="shared" si="333"/><v/></c><c r="V4253" t="str"><f t="shared" si="334"/><v/></c><c r="AB4253" s="3" t="str"><f t="shared" si="330"/><v/></c><c r="AC4253" t="str"><f t="shared" si="335"/><v/></c></row><row r="4254" spans="19:29" x14ac:dyDescent="0.25"><c r="S4254" s="9" t="str"><f t="shared" si="331"/><v/></c><c r="T4254" t="str"><f t="shared" si="332"/><v/></c><c r="U4254" t="str"><f t="shared" si="333"/><v/></c><c r="V4254" t="str"><f t="shared" si="334"/><v/></c><c r="AB4254" s="3" t="str"><f t="shared" si="330"/><v/></c><c r="AC4254" t="str"><f t="shared" si="335"/><v/></c></row><row r="4255" spans="19:29" x14ac:dyDescent="0.25"><c r="S4255" s="9" t="str"><f t="shared" si="331"/><v/></c><c r="T4255" t="str"><f t="shared" si="332"/><v/></c><c r="U4255" t="str"><f t="shared" si="333"/><v/></c><c r="V4255" t="str"><f t="shared" si="334"/><v/></c><c r="AB4255" s="3" t="str"><f t="shared" si="330"/><v/></c><c r="AC4255" t="str"><f t="shared" si="335"/><v/></c></row><row r="4256" spans="19:29" x14ac:dyDescent="0.25"><c r="S4256" s="9" t="str"><f t="shared" si="331"/><v/></c><c r="T4256" t="str"><f t="shared" si="332"/><v/></c><c r="U4256" t="str"><f t="shared" si="333"/><v/></c><c r="V4256" t="str"><f t="shared" si="334"/><v/></c><c r="AB4256" s="3" t="str"><f t="shared" si="330"/><v/></c><c r="AC4256" t="str"><f t="shared" si="335"/><v/></c></row><row r="4257" spans="19:29" x14ac:dyDescent="0.25"><c r="S4257" s="9" t="str"><f t="shared" si="331"/><v/></c><c r="T4257" t="str"><f t="shared" si="332"/><v/></c><c r="U4257" t="str"><f t="shared" si="333"/><v/></c><c r="V4257" t="str"><f t="shared" si="334"/><v/></c><c r="AB4257" s="3" t="str"><f t="shared" si="330"/><v/></c><c r="AC4257" t="str"><f t="shared" si="335"/><v/></c></row><row r="4258" spans="19:29" x14ac:dyDescent="0.25"><c r="S4258" s="9" t="str"><f t="shared" si="331"/><v/></c><c r="T4258" t="str"><f t="shared" si="332"/><v/></c><c r="U4258" t="str"><f t="shared" si="333"/><v/></c><c r="V4258" t="str"><f t="shared" si="334"/><v/></c><c r="AB4258" s="3" t="str"><f t="shared" si="330"/><v/></c><c r="AC4258" t="str"><f t="shared" si="335"/><v/></c></row><row r="4259" spans="19:29" x14ac:dyDescent="0.25"><c r="S4259" s="9" t="str"><f t="shared" si="331"/><v/></c><c r="T4259" t="str"><f t="shared" si="332"/><v/></c><c r="U4259" t="str"><f t="shared" si="333"/><v/></c><c r="V4259" t="str"><f t="shared" si="334"/><v/></c><c r="AB4259" s="3" t="str"><f t="shared" si="330"/><v/></c><c r="AC4259" t="str"><f t="shared" si="335"/><v/></c></row><row r="4260" spans="19:29" x14ac:dyDescent="0.25"><c r="S4260" s="9" t="str"><f t="shared" si="331"/><v/></c><c r="T4260" t="str"><f t="shared" si="332"/><v/></c><c r="U4260" t="str"><f t="shared" si="333"/><v/></c><c r="V4260" t="str"><f t="shared" si="334"/><v/></c><c r="AB4260" s="3" t="str"><f t="shared" si="330"/><v/></c><c r="AC4260" t="str"><f t="shared" si="335"/><v/></c></row><row r="4261" spans="19:29" x14ac:dyDescent="0.25"><c r="S4261" s="9" t="str"><f t="shared" si="331"/><v/></c><c r="T4261" t="str"><f t="shared" si="332"/><v/></c><c r="U4261" t="str"><f t="shared" si="333"/><v/></c><c r="V4261" t="str"><f t="shared" si="334"/><v/></c><c r="AB4261" s="3" t="str"><f t="shared" si="330"/><v/></c><c r="AC4261" t="str"><f t="shared" si="335"/><v/></c></row><row r="4262" spans="19:29" x14ac:dyDescent="0.25"><c r="S4262" s="9" t="str"><f t="shared" si="331"/><v/></c><c r="T4262" t="str"><f t="shared" si="332"/><v/></c><c r="U4262" t="str"><f t="shared" si="333"/><v/></c><c r="V4262" t="str"><f t="shared" si="334"/><v/></c><c r="AB4262" s="3" t="str"><f t="shared" si="330"/><v/></c><c r="AC4262" t="str"><f t="shared" si="335"/><v/></c></row><row r="4263" spans="19:29" x14ac:dyDescent="0.25"><c r="S4263" s="9" t="str"><f t="shared" si="331"/><v/></c><c r="T4263" t="str"><f t="shared" si="332"/><v/></c><c r="U4263" t="str"><f t="shared" si="333"/><v/></c><c r="V4263" t="str"><f t="shared" si="334"/><v/></c><c r="AB4263" s="3" t="str"><f t="shared" si="330"/><v/></c><c r="AC4263" t="str"><f t="shared" si="335"/><v/></c></row><row r="4264" spans="19:29" x14ac:dyDescent="0.25"><c r="S4264" s="9" t="str"><f t="shared" si="331"/><v/></c><c r="T4264" t="str"><f t="shared" si="332"/><v/></c><c r="U4264" t="str"><f t="shared" si="333"/><v/></c><c r="V4264" t="str"><f t="shared" si="334"/><v/></c><c r="AB4264" s="3" t="str"><f t="shared" si="330"/><v/></c><c r="AC4264" t="str"><f t="shared" si="335"/><v/></c></row><row r="4265" spans="19:29" x14ac:dyDescent="0.25"><c r="S4265" s="9" t="str"><f t="shared" si="331"/><v/></c><c r="T4265" t="str"><f t="shared" si="332"/><v/></c><c r="U4265" t="str"><f t="shared" si="333"/><v/></c><c r="V4265" t="str"><f t="shared" si="334"/><v/></c><c r="AB4265" s="3" t="str"><f t="shared" si="330"/><v/></c><c r="AC4265" t="str"><f t="shared" si="335"/><v/></c></row><row r="4266" spans="19:29" x14ac:dyDescent="0.25"><c r="S4266" s="9" t="str"><f t="shared" si="331"/><v/></c><c r="T4266" t="str"><f t="shared" si="332"/><v/></c><c r="U4266" t="str"><f t="shared" si="333"/><v/></c><c r="V4266" t="str"><f t="shared" si="334"/><v/></c><c r="AB4266" s="3" t="str"><f t="shared" si="330"/><v/></c><c r="AC4266" t="str"><f t="shared" si="335"/><v/></c></row><row r="4267" spans="19:29" x14ac:dyDescent="0.25"><c r="S4267" s="9" t="str"><f t="shared" si="331"/><v/></c><c r="T4267" t="str"><f t="shared" si="332"/><v/></c><c r="U4267" t="str"><f t="shared" si="333"/><v/></c><c r="V4267" t="str"><f t="shared" si="334"/><v/></c><c r="AB4267" s="3" t="str"><f t="shared" si="330"/><v/></c><c r="AC4267" t="str"><f t="shared" si="335"/><v/></c></row><row r="4268" spans="19:29" x14ac:dyDescent="0.25"><c r="S4268" s="9" t="str"><f t="shared" si="331"/><v/></c><c r="T4268" t="str"><f t="shared" si="332"/><v/></c><c r="U4268" t="str"><f t="shared" si="333"/><v/></c><c r="V4268" t="str"><f t="shared" si="334"/><v/></c><c r="AB4268" s="3" t="str"><f t="shared" si="330"/><v/></c><c r="AC4268" t="str"><f t="shared" si="335"/><v/></c></row><row r="4269" spans="19:29" x14ac:dyDescent="0.25"><c r="S4269" s="9" t="str"><f t="shared" si="331"/><v/></c><c r="T4269" t="str"><f t="shared" si="332"/><v/></c><c r="U4269" t="str"><f t="shared" si="333"/><v/></c><c r="V4269" t="str"><f t="shared" si="334"/><v/></c><c r="AB4269" s="3" t="str"><f t="shared" si="330"/><v/></c><c r="AC4269" t="str"><f t="shared" si="335"/><v/></c></row><row r="4270" spans="19:29" x14ac:dyDescent="0.25"><c r="S4270" s="9" t="str"><f t="shared" si="331"/><v/></c><c r="T4270" t="str"><f t="shared" si="332"/><v/></c><c r="U4270" t="str"><f t="shared" si="333"/><v/></c><c r="V4270" t="str"><f t="shared" si="334"/><v/></c><c r="AB4270" s="3" t="str"><f t="shared" si="330"/><v/></c><c r="AC4270" t="str"><f t="shared" si="335"/><v/></c></row><row r="4271" spans="19:29" x14ac:dyDescent="0.25"><c r="S4271" s="9" t="str"><f t="shared" si="331"/><v/></c><c r="T4271" t="str"><f t="shared" si="332"/><v/></c><c r="U4271" t="str"><f t="shared" si="333"/><v/></c><c r="V4271" t="str"><f t="shared" si="334"/><v/></c><c r="AB4271" s="3" t="str"><f t="shared" si="330"/><v/></c><c r="AC4271" t="str"><f t="shared" si="335"/><v/></c></row><row r="4272" spans="19:29" x14ac:dyDescent="0.25"><c r="S4272" s="9" t="str"><f t="shared" si="331"/><v/></c><c r="T4272" t="str"><f t="shared" si="332"/><v/></c><c r="U4272" t="str"><f t="shared" si="333"/><v/></c><c r="V4272" t="str"><f t="shared" si="334"/><v/></c><c r="AB4272" s="3" t="str"><f t="shared" si="330"/><v/></c><c r="AC4272" t="str"><f t="shared" si="335"/><v/></c></row><row r="4273" spans="19:29" x14ac:dyDescent="0.25"><c r="S4273" s="9" t="str"><f t="shared" si="331"/><v/></c><c r="T4273" t="str"><f t="shared" si="332"/><v/></c><c r="U4273" t="str"><f t="shared" si="333"/><v/></c><c r="V4273" t="str"><f t="shared" si="334"/><v/></c><c r="AB4273" s="3" t="str"><f t="shared" si="330"/><v/></c><c r="AC4273" t="str"><f t="shared" si="335"/><v/></c></row><row r="4274" spans="19:29" x14ac:dyDescent="0.25"><c r="S4274" s="9" t="str"><f t="shared" si="331"/><v/></c><c r="T4274" t="str"><f t="shared" si="332"/><v/></c><c r="U4274" t="str"><f t="shared" si="333"/><v/></c><c r="V4274" t="str"><f t="shared" si="334"/><v/></c><c r="AB4274" s="3" t="str"><f t="shared" si="330"/><v/></c><c r="AC4274" t="str"><f t="shared" si="335"/><v/></c></row><row r="4275" spans="19:29" x14ac:dyDescent="0.25"><c r="S4275" s="9" t="str"><f t="shared" si="331"/><v/></c><c r="T4275" t="str"><f t="shared" si="332"/><v/></c><c r="U4275" t="str"><f t="shared" si="333"/><v/></c><c r="V4275" t="str"><f t="shared" si="334"/><v/></c><c r="AB4275" s="3" t="str"><f t="shared" si="330"/><v/></c><c r="AC4275" t="str"><f t="shared" si="335"/><v/></c></row><row r="4276" spans="19:29" x14ac:dyDescent="0.25"><c r="S4276" s="9" t="str"><f t="shared" si="331"/><v/></c><c r="T4276" t="str"><f t="shared" si="332"/><v/></c><c r="U4276" t="str"><f t="shared" si="333"/><v/></c><c r="V4276" t="str"><f t="shared" si="334"/><v/></c><c r="AB4276" s="3" t="str"><f t="shared" si="330"/><v/></c><c r="AC4276" t="str"><f t="shared" si="335"/><v/></c></row><row r="4277" spans="19:29" x14ac:dyDescent="0.25"><c r="S4277" s="9" t="str"><f t="shared" si="331"/><v/></c><c r="T4277" t="str"><f t="shared" si="332"/><v/></c><c r="U4277" t="str"><f t="shared" si="333"/><v/></c><c r="V4277" t="str"><f t="shared" si="334"/><v/></c><c r="AB4277" s="3" t="str"><f t="shared" si="330"/><v/></c><c r="AC4277" t="str"><f t="shared" si="335"/><v/></c></row><row r="4278" spans="19:29" x14ac:dyDescent="0.25"><c r="S4278" s="9" t="str"><f t="shared" si="331"/><v/></c><c r="T4278" t="str"><f t="shared" si="332"/><v/></c><c r="U4278" t="str"><f t="shared" si="333"/><v/></c><c r="V4278" t="str"><f t="shared" si="334"/><v/></c><c r="AB4278" s="3" t="str"><f t="shared" si="330"/><v/></c><c r="AC4278" t="str"><f t="shared" si="335"/><v/></c></row><row r="4279" spans="19:29" x14ac:dyDescent="0.25"><c r="S4279" s="9" t="str"><f t="shared" si="331"/><v/></c><c r="T4279" t="str"><f t="shared" si="332"/><v/></c><c r="U4279" t="str"><f t="shared" si="333"/><v/></c><c r="V4279" t="str"><f t="shared" si="334"/><v/></c><c r="AB4279" s="3" t="str"><f t="shared" si="330"/><v/></c><c r="AC4279" t="str"><f t="shared" si="335"/><v/></c></row><row r="4280" spans="19:29" x14ac:dyDescent="0.25"><c r="S4280" s="9" t="str"><f t="shared" si="331"/><v/></c><c r="T4280" t="str"><f t="shared" si="332"/><v/></c><c r="U4280" t="str"><f t="shared" si="333"/><v/></c><c r="V4280" t="str"><f t="shared" si="334"/><v/></c><c r="AB4280" s="3" t="str"><f t="shared" si="330"/><v/></c><c r="AC4280" t="str"><f t="shared" si="335"/><v/></c></row><row r="4281" spans="19:29" x14ac:dyDescent="0.25"><c r="S4281" s="9" t="str"><f t="shared" si="331"/><v/></c><c r="T4281" t="str"><f t="shared" si="332"/><v/></c><c r="U4281" t="str"><f t="shared" si="333"/><v/></c><c r="V4281" t="str"><f t="shared" si="334"/><v/></c><c r="AB4281" s="3" t="str"><f t="shared" si="330"/><v/></c><c r="AC4281" t="str"><f t="shared" si="335"/><v/></c></row><row r="4282" spans="19:29" x14ac:dyDescent="0.25"><c r="S4282" s="9" t="str"><f t="shared" si="331"/><v/></c><c r="T4282" t="str"><f t="shared" si="332"/><v/></c><c r="U4282" t="str"><f t="shared" si="333"/><v/></c><c r="V4282" t="str"><f t="shared" si="334"/><v/></c><c r="AB4282" s="3" t="str"><f t="shared" si="330"/><v/></c><c r="AC4282" t="str"><f t="shared" si="335"/><v/></c></row><row r="4283" spans="19:29" x14ac:dyDescent="0.25"><c r="S4283" s="9" t="str"><f t="shared" si="331"/><v/></c><c r="T4283" t="str"><f t="shared" si="332"/><v/></c><c r="U4283" t="str"><f t="shared" si="333"/><v/></c><c r="V4283" t="str"><f t="shared" si="334"/><v/></c><c r="AB4283" s="3" t="str"><f t="shared" si="330"/><v/></c><c r="AC4283" t="str"><f t="shared" si="335"/><v/></c></row><row r="4284" spans="19:29" x14ac:dyDescent="0.25"><c r="S4284" s="9" t="str"><f t="shared" si="331"/><v/></c><c r="T4284" t="str"><f t="shared" si="332"/><v/></c><c r="U4284" t="str"><f t="shared" si="333"/><v/></c><c r="V4284" t="str"><f t="shared" si="334"/><v/></c><c r="AB4284" s="3" t="str"><f t="shared" si="330"/><v/></c><c r="AC4284" t="str"><f t="shared" si="335"/><v/></c></row><row r="4285" spans="19:29" x14ac:dyDescent="0.25"><c r="S4285" s="9" t="str"><f t="shared" si="331"/><v/></c><c r="T4285" t="str"><f t="shared" si="332"/><v/></c><c r="U4285" t="str"><f t="shared" si="333"/><v/></c><c r="V4285" t="str"><f t="shared" si="334"/><v/></c><c r="AB4285" s="3" t="str"><f t="shared" si="330"/><v/></c><c r="AC4285" t="str"><f t="shared" si="335"/><v/></c></row><row r="4286" spans="19:29" x14ac:dyDescent="0.25"><c r="S4286" s="9" t="str"><f t="shared" si="331"/><v/></c><c r="T4286" t="str"><f t="shared" si="332"/><v/></c><c r="U4286" t="str"><f t="shared" si="333"/><v/></c><c r="V4286" t="str"><f t="shared" si="334"/><v/></c><c r="AB4286" s="3" t="str"><f t="shared" si="330"/><v/></c><c r="AC4286" t="str"><f t="shared" si="335"/><v/></c></row><row r="4287" spans="19:29" x14ac:dyDescent="0.25"><c r="S4287" s="9" t="str"><f t="shared" si="331"/><v/></c><c r="T4287" t="str"><f t="shared" si="332"/><v/></c><c r="U4287" t="str"><f t="shared" si="333"/><v/></c><c r="V4287" t="str"><f t="shared" si="334"/><v/></c><c r="AB4287" s="3" t="str"><f t="shared" si="330"/><v/></c><c r="AC4287" t="str"><f t="shared" si="335"/><v/></c></row><row r="4288" spans="19:29" x14ac:dyDescent="0.25"><c r="S4288" s="9" t="str"><f t="shared" si="331"/><v/></c><c r="T4288" t="str"><f t="shared" si="332"/><v/></c><c r="U4288" t="str"><f t="shared" si="333"/><v/></c><c r="V4288" t="str"><f t="shared" si="334"/><v/></c><c r="AB4288" s="3" t="str"><f t="shared" si="330"/><v/></c><c r="AC4288" t="str"><f t="shared" si="335"/><v/></c></row><row r="4289" spans="19:29" x14ac:dyDescent="0.25"><c r="S4289" s="9" t="str"><f t="shared" si="331"/><v/></c><c r="T4289" t="str"><f t="shared" si="332"/><v/></c><c r="U4289" t="str"><f t="shared" si="333"/><v/></c><c r="V4289" t="str"><f t="shared" si="334"/><v/></c><c r="AB4289" s="3" t="str"><f t="shared" si="330"/><v/></c><c r="AC4289" t="str"><f t="shared" si="335"/><v/></c></row><row r="4290" spans="19:29" x14ac:dyDescent="0.25"><c r="S4290" s="9" t="str"><f t="shared" si="331"/><v/></c><c r="T4290" t="str"><f t="shared" si="332"/><v/></c><c r="U4290" t="str"><f t="shared" si="333"/><v/></c><c r="V4290" t="str"><f t="shared" si="334"/><v/></c><c r="AB4290" s="3" t="str"><f t="shared" ref="AB4290:AB4353" si="336">IF(ISBLANK(B4290),"", "10")</f><v/></c><c r="AC4290" t="str"><f t="shared" si="335"/><v/></c></row><row r="4291" spans="19:29" x14ac:dyDescent="0.25"><c r="S4291" s="9" t="str"><f t="shared" ref="S4291:S4354" si="337">IF(ISBLANK(B4291),"",B4291 )</f><v/></c><c r="T4291" t="str"><f t="shared" ref="T4291:T4354" si="338">IF(ISBLANK(B4291),"",B4291 )</f><v/></c><c r="U4291" t="str"><f t="shared" ref="U4291:U4354" si="339">IF(ISBLANK(B4291),"",B4291 )</f><v/></c><c r="V4291" t="str"><f t="shared" ref="V4291:V4354" si="340">IF(ISBLANK(B4291),"", "SHOP_SKU")</f><v/></c><c r="AB4291" s="3" t="str"><f t="shared" si="336"/><v/></c><c r="AC4291" t="str"><f t="shared" ref="AC4291:AC4354" si="341">IF(ISBLANK(B4291),"", "New")</f><v/></c></row><row r="4292" spans="19:29" x14ac:dyDescent="0.25"><c r="S4292" s="9" t="str"><f t="shared" si="337"/><v/></c><c r="T4292" t="str"><f t="shared" si="338"/><v/></c><c r="U4292" t="str"><f t="shared" si="339"/><v/></c><c r="V4292" t="str"><f t="shared" si="340"/><v/></c><c r="AB4292" s="3" t="str"><f t="shared" si="336"/><v/></c><c r="AC4292" t="str"><f t="shared" si="341"/><v/></c></row><row r="4293" spans="19:29" x14ac:dyDescent="0.25"><c r="S4293" s="9" t="str"><f t="shared" si="337"/><v/></c><c r="T4293" t="str"><f t="shared" si="338"/><v/></c><c r="U4293" t="str"><f t="shared" si="339"/><v/></c><c r="V4293" t="str"><f t="shared" si="340"/><v/></c><c r="AB4293" s="3" t="str"><f t="shared" si="336"/><v/></c><c r="AC4293" t="str"><f t="shared" si="341"/><v/></c></row><row r="4294" spans="19:29" x14ac:dyDescent="0.25"><c r="S4294" s="9" t="str"><f t="shared" si="337"/><v/></c><c r="T4294" t="str"><f t="shared" si="338"/><v/></c><c r="U4294" t="str"><f t="shared" si="339"/><v/></c><c r="V4294" t="str"><f t="shared" si="340"/><v/></c><c r="AB4294" s="3" t="str"><f t="shared" si="336"/><v/></c><c r="AC4294" t="str"><f t="shared" si="341"/><v/></c></row><row r="4295" spans="19:29" x14ac:dyDescent="0.25"><c r="S4295" s="9" t="str"><f t="shared" si="337"/><v/></c><c r="T4295" t="str"><f t="shared" si="338"/><v/></c><c r="U4295" t="str"><f t="shared" si="339"/><v/></c><c r="V4295" t="str"><f t="shared" si="340"/><v/></c><c r="AB4295" s="3" t="str"><f t="shared" si="336"/><v/></c><c r="AC4295" t="str"><f t="shared" si="341"/><v/></c></row><row r="4296" spans="19:29" x14ac:dyDescent="0.25"><c r="S4296" s="9" t="str"><f t="shared" si="337"/><v/></c><c r="T4296" t="str"><f t="shared" si="338"/><v/></c><c r="U4296" t="str"><f t="shared" si="339"/><v/></c><c r="V4296" t="str"><f t="shared" si="340"/><v/></c><c r="AB4296" s="3" t="str"><f t="shared" si="336"/><v/></c><c r="AC4296" t="str"><f t="shared" si="341"/><v/></c></row><row r="4297" spans="19:29" x14ac:dyDescent="0.25"><c r="S4297" s="9" t="str"><f t="shared" si="337"/><v/></c><c r="T4297" t="str"><f t="shared" si="338"/><v/></c><c r="U4297" t="str"><f t="shared" si="339"/><v/></c><c r="V4297" t="str"><f t="shared" si="340"/><v/></c><c r="AB4297" s="3" t="str"><f t="shared" si="336"/><v/></c><c r="AC4297" t="str"><f t="shared" si="341"/><v/></c></row><row r="4298" spans="19:29" x14ac:dyDescent="0.25"><c r="S4298" s="9" t="str"><f t="shared" si="337"/><v/></c><c r="T4298" t="str"><f t="shared" si="338"/><v/></c><c r="U4298" t="str"><f t="shared" si="339"/><v/></c><c r="V4298" t="str"><f t="shared" si="340"/><v/></c><c r="AB4298" s="3" t="str"><f t="shared" si="336"/><v/></c><c r="AC4298" t="str"><f t="shared" si="341"/><v/></c></row><row r="4299" spans="19:29" x14ac:dyDescent="0.25"><c r="S4299" s="9" t="str"><f t="shared" si="337"/><v/></c><c r="T4299" t="str"><f t="shared" si="338"/><v/></c><c r="U4299" t="str"><f t="shared" si="339"/><v/></c><c r="V4299" t="str"><f t="shared" si="340"/><v/></c><c r="AB4299" s="3" t="str"><f t="shared" si="336"/><v/></c><c r="AC4299" t="str"><f t="shared" si="341"/><v/></c></row><row r="4300" spans="19:29" x14ac:dyDescent="0.25"><c r="S4300" s="9" t="str"><f t="shared" si="337"/><v/></c><c r="T4300" t="str"><f t="shared" si="338"/><v/></c><c r="U4300" t="str"><f t="shared" si="339"/><v/></c><c r="V4300" t="str"><f t="shared" si="340"/><v/></c><c r="AB4300" s="3" t="str"><f t="shared" si="336"/><v/></c><c r="AC4300" t="str"><f t="shared" si="341"/><v/></c></row><row r="4301" spans="19:29" x14ac:dyDescent="0.25"><c r="S4301" s="9" t="str"><f t="shared" si="337"/><v/></c><c r="T4301" t="str"><f t="shared" si="338"/><v/></c><c r="U4301" t="str"><f t="shared" si="339"/><v/></c><c r="V4301" t="str"><f t="shared" si="340"/><v/></c><c r="AB4301" s="3" t="str"><f t="shared" si="336"/><v/></c><c r="AC4301" t="str"><f t="shared" si="341"/><v/></c></row><row r="4302" spans="19:29" x14ac:dyDescent="0.25"><c r="S4302" s="9" t="str"><f t="shared" si="337"/><v/></c><c r="T4302" t="str"><f t="shared" si="338"/><v/></c><c r="U4302" t="str"><f t="shared" si="339"/><v/></c><c r="V4302" t="str"><f t="shared" si="340"/><v/></c><c r="AB4302" s="3" t="str"><f t="shared" si="336"/><v/></c><c r="AC4302" t="str"><f t="shared" si="341"/><v/></c></row><row r="4303" spans="19:29" x14ac:dyDescent="0.25"><c r="S4303" s="9" t="str"><f t="shared" si="337"/><v/></c><c r="T4303" t="str"><f t="shared" si="338"/><v/></c><c r="U4303" t="str"><f t="shared" si="339"/><v/></c><c r="V4303" t="str"><f t="shared" si="340"/><v/></c><c r="AB4303" s="3" t="str"><f t="shared" si="336"/><v/></c><c r="AC4303" t="str"><f t="shared" si="341"/><v/></c></row><row r="4304" spans="19:29" x14ac:dyDescent="0.25"><c r="S4304" s="9" t="str"><f t="shared" si="337"/><v/></c><c r="T4304" t="str"><f t="shared" si="338"/><v/></c><c r="U4304" t="str"><f t="shared" si="339"/><v/></c><c r="V4304" t="str"><f t="shared" si="340"/><v/></c><c r="AB4304" s="3" t="str"><f t="shared" si="336"/><v/></c><c r="AC4304" t="str"><f t="shared" si="341"/><v/></c></row><row r="4305" spans="19:29" x14ac:dyDescent="0.25"><c r="S4305" s="9" t="str"><f t="shared" si="337"/><v/></c><c r="T4305" t="str"><f t="shared" si="338"/><v/></c><c r="U4305" t="str"><f t="shared" si="339"/><v/></c><c r="V4305" t="str"><f t="shared" si="340"/><v/></c><c r="AB4305" s="3" t="str"><f t="shared" si="336"/><v/></c><c r="AC4305" t="str"><f t="shared" si="341"/><v/></c></row><row r="4306" spans="19:29" x14ac:dyDescent="0.25"><c r="S4306" s="9" t="str"><f t="shared" si="337"/><v/></c><c r="T4306" t="str"><f t="shared" si="338"/><v/></c><c r="U4306" t="str"><f t="shared" si="339"/><v/></c><c r="V4306" t="str"><f t="shared" si="340"/><v/></c><c r="AB4306" s="3" t="str"><f t="shared" si="336"/><v/></c><c r="AC4306" t="str"><f t="shared" si="341"/><v/></c></row><row r="4307" spans="19:29" x14ac:dyDescent="0.25"><c r="S4307" s="9" t="str"><f t="shared" si="337"/><v/></c><c r="T4307" t="str"><f t="shared" si="338"/><v/></c><c r="U4307" t="str"><f t="shared" si="339"/><v/></c><c r="V4307" t="str"><f t="shared" si="340"/><v/></c><c r="AB4307" s="3" t="str"><f t="shared" si="336"/><v/></c><c r="AC4307" t="str"><f t="shared" si="341"/><v/></c></row><row r="4308" spans="19:29" x14ac:dyDescent="0.25"><c r="S4308" s="9" t="str"><f t="shared" si="337"/><v/></c><c r="T4308" t="str"><f t="shared" si="338"/><v/></c><c r="U4308" t="str"><f t="shared" si="339"/><v/></c><c r="V4308" t="str"><f t="shared" si="340"/><v/></c><c r="AB4308" s="3" t="str"><f t="shared" si="336"/><v/></c><c r="AC4308" t="str"><f t="shared" si="341"/><v/></c></row><row r="4309" spans="19:29" x14ac:dyDescent="0.25"><c r="S4309" s="9" t="str"><f t="shared" si="337"/><v/></c><c r="T4309" t="str"><f t="shared" si="338"/><v/></c><c r="U4309" t="str"><f t="shared" si="339"/><v/></c><c r="V4309" t="str"><f t="shared" si="340"/><v/></c><c r="AB4309" s="3" t="str"><f t="shared" si="336"/><v/></c><c r="AC4309" t="str"><f t="shared" si="341"/><v/></c></row><row r="4310" spans="19:29" x14ac:dyDescent="0.25"><c r="S4310" s="9" t="str"><f t="shared" si="337"/><v/></c><c r="T4310" t="str"><f t="shared" si="338"/><v/></c><c r="U4310" t="str"><f t="shared" si="339"/><v/></c><c r="V4310" t="str"><f t="shared" si="340"/><v/></c><c r="AB4310" s="3" t="str"><f t="shared" si="336"/><v/></c><c r="AC4310" t="str"><f t="shared" si="341"/><v/></c></row><row r="4311" spans="19:29" x14ac:dyDescent="0.25"><c r="S4311" s="9" t="str"><f t="shared" si="337"/><v/></c><c r="T4311" t="str"><f t="shared" si="338"/><v/></c><c r="U4311" t="str"><f t="shared" si="339"/><v/></c><c r="V4311" t="str"><f t="shared" si="340"/><v/></c><c r="AB4311" s="3" t="str"><f t="shared" si="336"/><v/></c><c r="AC4311" t="str"><f t="shared" si="341"/><v/></c></row><row r="4312" spans="19:29" x14ac:dyDescent="0.25"><c r="S4312" s="9" t="str"><f t="shared" si="337"/><v/></c><c r="T4312" t="str"><f t="shared" si="338"/><v/></c><c r="U4312" t="str"><f t="shared" si="339"/><v/></c><c r="V4312" t="str"><f t="shared" si="340"/><v/></c><c r="AB4312" s="3" t="str"><f t="shared" si="336"/><v/></c><c r="AC4312" t="str"><f t="shared" si="341"/><v/></c></row><row r="4313" spans="19:29" x14ac:dyDescent="0.25"><c r="S4313" s="9" t="str"><f t="shared" si="337"/><v/></c><c r="T4313" t="str"><f t="shared" si="338"/><v/></c><c r="U4313" t="str"><f t="shared" si="339"/><v/></c><c r="V4313" t="str"><f t="shared" si="340"/><v/></c><c r="AB4313" s="3" t="str"><f t="shared" si="336"/><v/></c><c r="AC4313" t="str"><f t="shared" si="341"/><v/></c></row><row r="4314" spans="19:29" x14ac:dyDescent="0.25"><c r="S4314" s="9" t="str"><f t="shared" si="337"/><v/></c><c r="T4314" t="str"><f t="shared" si="338"/><v/></c><c r="U4314" t="str"><f t="shared" si="339"/><v/></c><c r="V4314" t="str"><f t="shared" si="340"/><v/></c><c r="AB4314" s="3" t="str"><f t="shared" si="336"/><v/></c><c r="AC4314" t="str"><f t="shared" si="341"/><v/></c></row><row r="4315" spans="19:29" x14ac:dyDescent="0.25"><c r="S4315" s="9" t="str"><f t="shared" si="337"/><v/></c><c r="T4315" t="str"><f t="shared" si="338"/><v/></c><c r="U4315" t="str"><f t="shared" si="339"/><v/></c><c r="V4315" t="str"><f t="shared" si="340"/><v/></c><c r="AB4315" s="3" t="str"><f t="shared" si="336"/><v/></c><c r="AC4315" t="str"><f t="shared" si="341"/><v/></c></row><row r="4316" spans="19:29" x14ac:dyDescent="0.25"><c r="S4316" s="9" t="str"><f t="shared" si="337"/><v/></c><c r="T4316" t="str"><f t="shared" si="338"/><v/></c><c r="U4316" t="str"><f t="shared" si="339"/><v/></c><c r="V4316" t="str"><f t="shared" si="340"/><v/></c><c r="AB4316" s="3" t="str"><f t="shared" si="336"/><v/></c><c r="AC4316" t="str"><f t="shared" si="341"/><v/></c></row><row r="4317" spans="19:29" x14ac:dyDescent="0.25"><c r="S4317" s="9" t="str"><f t="shared" si="337"/><v/></c><c r="T4317" t="str"><f t="shared" si="338"/><v/></c><c r="U4317" t="str"><f t="shared" si="339"/><v/></c><c r="V4317" t="str"><f t="shared" si="340"/><v/></c><c r="AB4317" s="3" t="str"><f t="shared" si="336"/><v/></c><c r="AC4317" t="str"><f t="shared" si="341"/><v/></c></row><row r="4318" spans="19:29" x14ac:dyDescent="0.25"><c r="S4318" s="9" t="str"><f t="shared" si="337"/><v/></c><c r="T4318" t="str"><f t="shared" si="338"/><v/></c><c r="U4318" t="str"><f t="shared" si="339"/><v/></c><c r="V4318" t="str"><f t="shared" si="340"/><v/></c><c r="AB4318" s="3" t="str"><f t="shared" si="336"/><v/></c><c r="AC4318" t="str"><f t="shared" si="341"/><v/></c></row><row r="4319" spans="19:29" x14ac:dyDescent="0.25"><c r="S4319" s="9" t="str"><f t="shared" si="337"/><v/></c><c r="T4319" t="str"><f t="shared" si="338"/><v/></c><c r="U4319" t="str"><f t="shared" si="339"/><v/></c><c r="V4319" t="str"><f t="shared" si="340"/><v/></c><c r="AB4319" s="3" t="str"><f t="shared" si="336"/><v/></c><c r="AC4319" t="str"><f t="shared" si="341"/><v/></c></row><row r="4320" spans="19:29" x14ac:dyDescent="0.25"><c r="S4320" s="9" t="str"><f t="shared" si="337"/><v/></c><c r="T4320" t="str"><f t="shared" si="338"/><v/></c><c r="U4320" t="str"><f t="shared" si="339"/><v/></c><c r="V4320" t="str"><f t="shared" si="340"/><v/></c><c r="AB4320" s="3" t="str"><f t="shared" si="336"/><v/></c><c r="AC4320" t="str"><f t="shared" si="341"/><v/></c></row><row r="4321" spans="19:29" x14ac:dyDescent="0.25"><c r="S4321" s="9" t="str"><f t="shared" si="337"/><v/></c><c r="T4321" t="str"><f t="shared" si="338"/><v/></c><c r="U4321" t="str"><f t="shared" si="339"/><v/></c><c r="V4321" t="str"><f t="shared" si="340"/><v/></c><c r="AB4321" s="3" t="str"><f t="shared" si="336"/><v/></c><c r="AC4321" t="str"><f t="shared" si="341"/><v/></c></row><row r="4322" spans="19:29" x14ac:dyDescent="0.25"><c r="S4322" s="9" t="str"><f t="shared" si="337"/><v/></c><c r="T4322" t="str"><f t="shared" si="338"/><v/></c><c r="U4322" t="str"><f t="shared" si="339"/><v/></c><c r="V4322" t="str"><f t="shared" si="340"/><v/></c><c r="AB4322" s="3" t="str"><f t="shared" si="336"/><v/></c><c r="AC4322" t="str"><f t="shared" si="341"/><v/></c></row><row r="4323" spans="19:29" x14ac:dyDescent="0.25"><c r="S4323" s="9" t="str"><f t="shared" si="337"/><v/></c><c r="T4323" t="str"><f t="shared" si="338"/><v/></c><c r="U4323" t="str"><f t="shared" si="339"/><v/></c><c r="V4323" t="str"><f t="shared" si="340"/><v/></c><c r="AB4323" s="3" t="str"><f t="shared" si="336"/><v/></c><c r="AC4323" t="str"><f t="shared" si="341"/><v/></c></row><row r="4324" spans="19:29" x14ac:dyDescent="0.25"><c r="S4324" s="9" t="str"><f t="shared" si="337"/><v/></c><c r="T4324" t="str"><f t="shared" si="338"/><v/></c><c r="U4324" t="str"><f t="shared" si="339"/><v/></c><c r="V4324" t="str"><f t="shared" si="340"/><v/></c><c r="AB4324" s="3" t="str"><f t="shared" si="336"/><v/></c><c r="AC4324" t="str"><f t="shared" si="341"/><v/></c></row><row r="4325" spans="19:29" x14ac:dyDescent="0.25"><c r="S4325" s="9" t="str"><f t="shared" si="337"/><v/></c><c r="T4325" t="str"><f t="shared" si="338"/><v/></c><c r="U4325" t="str"><f t="shared" si="339"/><v/></c><c r="V4325" t="str"><f t="shared" si="340"/><v/></c><c r="AB4325" s="3" t="str"><f t="shared" si="336"/><v/></c><c r="AC4325" t="str"><f t="shared" si="341"/><v/></c></row><row r="4326" spans="19:29" x14ac:dyDescent="0.25"><c r="S4326" s="9" t="str"><f t="shared" si="337"/><v/></c><c r="T4326" t="str"><f t="shared" si="338"/><v/></c><c r="U4326" t="str"><f t="shared" si="339"/><v/></c><c r="V4326" t="str"><f t="shared" si="340"/><v/></c><c r="AB4326" s="3" t="str"><f t="shared" si="336"/><v/></c><c r="AC4326" t="str"><f t="shared" si="341"/><v/></c></row><row r="4327" spans="19:29" x14ac:dyDescent="0.25"><c r="S4327" s="9" t="str"><f t="shared" si="337"/><v/></c><c r="T4327" t="str"><f t="shared" si="338"/><v/></c><c r="U4327" t="str"><f t="shared" si="339"/><v/></c><c r="V4327" t="str"><f t="shared" si="340"/><v/></c><c r="AB4327" s="3" t="str"><f t="shared" si="336"/><v/></c><c r="AC4327" t="str"><f t="shared" si="341"/><v/></c></row><row r="4328" spans="19:29" x14ac:dyDescent="0.25"><c r="S4328" s="9" t="str"><f t="shared" si="337"/><v/></c><c r="T4328" t="str"><f t="shared" si="338"/><v/></c><c r="U4328" t="str"><f t="shared" si="339"/><v/></c><c r="V4328" t="str"><f t="shared" si="340"/><v/></c><c r="AB4328" s="3" t="str"><f t="shared" si="336"/><v/></c><c r="AC4328" t="str"><f t="shared" si="341"/><v/></c></row><row r="4329" spans="19:29" x14ac:dyDescent="0.25"><c r="S4329" s="9" t="str"><f t="shared" si="337"/><v/></c><c r="T4329" t="str"><f t="shared" si="338"/><v/></c><c r="U4329" t="str"><f t="shared" si="339"/><v/></c><c r="V4329" t="str"><f t="shared" si="340"/><v/></c><c r="AB4329" s="3" t="str"><f t="shared" si="336"/><v/></c><c r="AC4329" t="str"><f t="shared" si="341"/><v/></c></row><row r="4330" spans="19:29" x14ac:dyDescent="0.25"><c r="S4330" s="9" t="str"><f t="shared" si="337"/><v/></c><c r="T4330" t="str"><f t="shared" si="338"/><v/></c><c r="U4330" t="str"><f t="shared" si="339"/><v/></c><c r="V4330" t="str"><f t="shared" si="340"/><v/></c><c r="AB4330" s="3" t="str"><f t="shared" si="336"/><v/></c><c r="AC4330" t="str"><f t="shared" si="341"/><v/></c></row><row r="4331" spans="19:29" x14ac:dyDescent="0.25"><c r="S4331" s="9" t="str"><f t="shared" si="337"/><v/></c><c r="T4331" t="str"><f t="shared" si="338"/><v/></c><c r="U4331" t="str"><f t="shared" si="339"/><v/></c><c r="V4331" t="str"><f t="shared" si="340"/><v/></c><c r="AB4331" s="3" t="str"><f t="shared" si="336"/><v/></c><c r="AC4331" t="str"><f t="shared" si="341"/><v/></c></row><row r="4332" spans="19:29" x14ac:dyDescent="0.25"><c r="S4332" s="9" t="str"><f t="shared" si="337"/><v/></c><c r="T4332" t="str"><f t="shared" si="338"/><v/></c><c r="U4332" t="str"><f t="shared" si="339"/><v/></c><c r="V4332" t="str"><f t="shared" si="340"/><v/></c><c r="AB4332" s="3" t="str"><f t="shared" si="336"/><v/></c><c r="AC4332" t="str"><f t="shared" si="341"/><v/></c></row><row r="4333" spans="19:29" x14ac:dyDescent="0.25"><c r="S4333" s="9" t="str"><f t="shared" si="337"/><v/></c><c r="T4333" t="str"><f t="shared" si="338"/><v/></c><c r="U4333" t="str"><f t="shared" si="339"/><v/></c><c r="V4333" t="str"><f t="shared" si="340"/><v/></c><c r="AB4333" s="3" t="str"><f t="shared" si="336"/><v/></c><c r="AC4333" t="str"><f t="shared" si="341"/><v/></c></row><row r="4334" spans="19:29" x14ac:dyDescent="0.25"><c r="S4334" s="9" t="str"><f t="shared" si="337"/><v/></c><c r="T4334" t="str"><f t="shared" si="338"/><v/></c><c r="U4334" t="str"><f t="shared" si="339"/><v/></c><c r="V4334" t="str"><f t="shared" si="340"/><v/></c><c r="AB4334" s="3" t="str"><f t="shared" si="336"/><v/></c><c r="AC4334" t="str"><f t="shared" si="341"/><v/></c></row><row r="4335" spans="19:29" x14ac:dyDescent="0.25"><c r="S4335" s="9" t="str"><f t="shared" si="337"/><v/></c><c r="T4335" t="str"><f t="shared" si="338"/><v/></c><c r="U4335" t="str"><f t="shared" si="339"/><v/></c><c r="V4335" t="str"><f t="shared" si="340"/><v/></c><c r="AB4335" s="3" t="str"><f t="shared" si="336"/><v/></c><c r="AC4335" t="str"><f t="shared" si="341"/><v/></c></row><row r="4336" spans="19:29" x14ac:dyDescent="0.25"><c r="S4336" s="9" t="str"><f t="shared" si="337"/><v/></c><c r="T4336" t="str"><f t="shared" si="338"/><v/></c><c r="U4336" t="str"><f t="shared" si="339"/><v/></c><c r="V4336" t="str"><f t="shared" si="340"/><v/></c><c r="AB4336" s="3" t="str"><f t="shared" si="336"/><v/></c><c r="AC4336" t="str"><f t="shared" si="341"/><v/></c></row><row r="4337" spans="19:29" x14ac:dyDescent="0.25"><c r="S4337" s="9" t="str"><f t="shared" si="337"/><v/></c><c r="T4337" t="str"><f t="shared" si="338"/><v/></c><c r="U4337" t="str"><f t="shared" si="339"/><v/></c><c r="V4337" t="str"><f t="shared" si="340"/><v/></c><c r="AB4337" s="3" t="str"><f t="shared" si="336"/><v/></c><c r="AC4337" t="str"><f t="shared" si="341"/><v/></c></row><row r="4338" spans="19:29" x14ac:dyDescent="0.25"><c r="S4338" s="9" t="str"><f t="shared" si="337"/><v/></c><c r="T4338" t="str"><f t="shared" si="338"/><v/></c><c r="U4338" t="str"><f t="shared" si="339"/><v/></c><c r="V4338" t="str"><f t="shared" si="340"/><v/></c><c r="AB4338" s="3" t="str"><f t="shared" si="336"/><v/></c><c r="AC4338" t="str"><f t="shared" si="341"/><v/></c></row><row r="4339" spans="19:29" x14ac:dyDescent="0.25"><c r="S4339" s="9" t="str"><f t="shared" si="337"/><v/></c><c r="T4339" t="str"><f t="shared" si="338"/><v/></c><c r="U4339" t="str"><f t="shared" si="339"/><v/></c><c r="V4339" t="str"><f t="shared" si="340"/><v/></c><c r="AB4339" s="3" t="str"><f t="shared" si="336"/><v/></c><c r="AC4339" t="str"><f t="shared" si="341"/><v/></c></row><row r="4340" spans="19:29" x14ac:dyDescent="0.25"><c r="S4340" s="9" t="str"><f t="shared" si="337"/><v/></c><c r="T4340" t="str"><f t="shared" si="338"/><v/></c><c r="U4340" t="str"><f t="shared" si="339"/><v/></c><c r="V4340" t="str"><f t="shared" si="340"/><v/></c><c r="AB4340" s="3" t="str"><f t="shared" si="336"/><v/></c><c r="AC4340" t="str"><f t="shared" si="341"/><v/></c></row><row r="4341" spans="19:29" x14ac:dyDescent="0.25"><c r="S4341" s="9" t="str"><f t="shared" si="337"/><v/></c><c r="T4341" t="str"><f t="shared" si="338"/><v/></c><c r="U4341" t="str"><f t="shared" si="339"/><v/></c><c r="V4341" t="str"><f t="shared" si="340"/><v/></c><c r="AB4341" s="3" t="str"><f t="shared" si="336"/><v/></c><c r="AC4341" t="str"><f t="shared" si="341"/><v/></c></row><row r="4342" spans="19:29" x14ac:dyDescent="0.25"><c r="S4342" s="9" t="str"><f t="shared" si="337"/><v/></c><c r="T4342" t="str"><f t="shared" si="338"/><v/></c><c r="U4342" t="str"><f t="shared" si="339"/><v/></c><c r="V4342" t="str"><f t="shared" si="340"/><v/></c><c r="AB4342" s="3" t="str"><f t="shared" si="336"/><v/></c><c r="AC4342" t="str"><f t="shared" si="341"/><v/></c></row><row r="4343" spans="19:29" x14ac:dyDescent="0.25"><c r="S4343" s="9" t="str"><f t="shared" si="337"/><v/></c><c r="T4343" t="str"><f t="shared" si="338"/><v/></c><c r="U4343" t="str"><f t="shared" si="339"/><v/></c><c r="V4343" t="str"><f t="shared" si="340"/><v/></c><c r="AB4343" s="3" t="str"><f t="shared" si="336"/><v/></c><c r="AC4343" t="str"><f t="shared" si="341"/><v/></c></row><row r="4344" spans="19:29" x14ac:dyDescent="0.25"><c r="S4344" s="9" t="str"><f t="shared" si="337"/><v/></c><c r="T4344" t="str"><f t="shared" si="338"/><v/></c><c r="U4344" t="str"><f t="shared" si="339"/><v/></c><c r="V4344" t="str"><f t="shared" si="340"/><v/></c><c r="AB4344" s="3" t="str"><f t="shared" si="336"/><v/></c><c r="AC4344" t="str"><f t="shared" si="341"/><v/></c></row><row r="4345" spans="19:29" x14ac:dyDescent="0.25"><c r="S4345" s="9" t="str"><f t="shared" si="337"/><v/></c><c r="T4345" t="str"><f t="shared" si="338"/><v/></c><c r="U4345" t="str"><f t="shared" si="339"/><v/></c><c r="V4345" t="str"><f t="shared" si="340"/><v/></c><c r="AB4345" s="3" t="str"><f t="shared" si="336"/><v/></c><c r="AC4345" t="str"><f t="shared" si="341"/><v/></c></row><row r="4346" spans="19:29" x14ac:dyDescent="0.25"><c r="S4346" s="9" t="str"><f t="shared" si="337"/><v/></c><c r="T4346" t="str"><f t="shared" si="338"/><v/></c><c r="U4346" t="str"><f t="shared" si="339"/><v/></c><c r="V4346" t="str"><f t="shared" si="340"/><v/></c><c r="AB4346" s="3" t="str"><f t="shared" si="336"/><v/></c><c r="AC4346" t="str"><f t="shared" si="341"/><v/></c></row><row r="4347" spans="19:29" x14ac:dyDescent="0.25"><c r="S4347" s="9" t="str"><f t="shared" si="337"/><v/></c><c r="T4347" t="str"><f t="shared" si="338"/><v/></c><c r="U4347" t="str"><f t="shared" si="339"/><v/></c><c r="V4347" t="str"><f t="shared" si="340"/><v/></c><c r="AB4347" s="3" t="str"><f t="shared" si="336"/><v/></c><c r="AC4347" t="str"><f t="shared" si="341"/><v/></c></row><row r="4348" spans="19:29" x14ac:dyDescent="0.25"><c r="S4348" s="9" t="str"><f t="shared" si="337"/><v/></c><c r="T4348" t="str"><f t="shared" si="338"/><v/></c><c r="U4348" t="str"><f t="shared" si="339"/><v/></c><c r="V4348" t="str"><f t="shared" si="340"/><v/></c><c r="AB4348" s="3" t="str"><f t="shared" si="336"/><v/></c><c r="AC4348" t="str"><f t="shared" si="341"/><v/></c></row><row r="4349" spans="19:29" x14ac:dyDescent="0.25"><c r="S4349" s="9" t="str"><f t="shared" si="337"/><v/></c><c r="T4349" t="str"><f t="shared" si="338"/><v/></c><c r="U4349" t="str"><f t="shared" si="339"/><v/></c><c r="V4349" t="str"><f t="shared" si="340"/><v/></c><c r="AB4349" s="3" t="str"><f t="shared" si="336"/><v/></c><c r="AC4349" t="str"><f t="shared" si="341"/><v/></c></row><row r="4350" spans="19:29" x14ac:dyDescent="0.25"><c r="S4350" s="9" t="str"><f t="shared" si="337"/><v/></c><c r="T4350" t="str"><f t="shared" si="338"/><v/></c><c r="U4350" t="str"><f t="shared" si="339"/><v/></c><c r="V4350" t="str"><f t="shared" si="340"/><v/></c><c r="AB4350" s="3" t="str"><f t="shared" si="336"/><v/></c><c r="AC4350" t="str"><f t="shared" si="341"/><v/></c></row><row r="4351" spans="19:29" x14ac:dyDescent="0.25"><c r="S4351" s="9" t="str"><f t="shared" si="337"/><v/></c><c r="T4351" t="str"><f t="shared" si="338"/><v/></c><c r="U4351" t="str"><f t="shared" si="339"/><v/></c><c r="V4351" t="str"><f t="shared" si="340"/><v/></c><c r="AB4351" s="3" t="str"><f t="shared" si="336"/><v/></c><c r="AC4351" t="str"><f t="shared" si="341"/><v/></c></row><row r="4352" spans="19:29" x14ac:dyDescent="0.25"><c r="S4352" s="9" t="str"><f t="shared" si="337"/><v/></c><c r="T4352" t="str"><f t="shared" si="338"/><v/></c><c r="U4352" t="str"><f t="shared" si="339"/><v/></c><c r="V4352" t="str"><f t="shared" si="340"/><v/></c><c r="AB4352" s="3" t="str"><f t="shared" si="336"/><v/></c><c r="AC4352" t="str"><f t="shared" si="341"/><v/></c></row><row r="4353" spans="19:29" x14ac:dyDescent="0.25"><c r="S4353" s="9" t="str"><f t="shared" si="337"/><v/></c><c r="T4353" t="str"><f t="shared" si="338"/><v/></c><c r="U4353" t="str"><f t="shared" si="339"/><v/></c><c r="V4353" t="str"><f t="shared" si="340"/><v/></c><c r="AB4353" s="3" t="str"><f t="shared" si="336"/><v/></c><c r="AC4353" t="str"><f t="shared" si="341"/><v/></c></row><row r="4354" spans="19:29" x14ac:dyDescent="0.25"><c r="S4354" s="9" t="str"><f t="shared" si="337"/><v/></c><c r="T4354" t="str"><f t="shared" si="338"/><v/></c><c r="U4354" t="str"><f t="shared" si="339"/><v/></c><c r="V4354" t="str"><f t="shared" si="340"/><v/></c><c r="AB4354" s="3" t="str"><f t="shared" ref="AB4354:AB4417" si="342">IF(ISBLANK(B4354),"", "10")</f><v/></c><c r="AC4354" t="str"><f t="shared" si="341"/><v/></c></row><row r="4355" spans="19:29" x14ac:dyDescent="0.25"><c r="S4355" s="9" t="str"><f t="shared" ref="S4355:S4418" si="343">IF(ISBLANK(B4355),"",B4355 )</f><v/></c><c r="T4355" t="str"><f t="shared" ref="T4355:T4418" si="344">IF(ISBLANK(B4355),"",B4355 )</f><v/></c><c r="U4355" t="str"><f t="shared" ref="U4355:U4418" si="345">IF(ISBLANK(B4355),"",B4355 )</f><v/></c><c r="V4355" t="str"><f t="shared" ref="V4355:V4418" si="346">IF(ISBLANK(B4355),"", "SHOP_SKU")</f><v/></c><c r="AB4355" s="3" t="str"><f t="shared" si="342"/><v/></c><c r="AC4355" t="str"><f t="shared" ref="AC4355:AC4418" si="347">IF(ISBLANK(B4355),"", "New")</f><v/></c></row><row r="4356" spans="19:29" x14ac:dyDescent="0.25"><c r="S4356" s="9" t="str"><f t="shared" si="343"/><v/></c><c r="T4356" t="str"><f t="shared" si="344"/><v/></c><c r="U4356" t="str"><f t="shared" si="345"/><v/></c><c r="V4356" t="str"><f t="shared" si="346"/><v/></c><c r="AB4356" s="3" t="str"><f t="shared" si="342"/><v/></c><c r="AC4356" t="str"><f t="shared" si="347"/><v/></c></row><row r="4357" spans="19:29" x14ac:dyDescent="0.25"><c r="S4357" s="9" t="str"><f t="shared" si="343"/><v/></c><c r="T4357" t="str"><f t="shared" si="344"/><v/></c><c r="U4357" t="str"><f t="shared" si="345"/><v/></c><c r="V4357" t="str"><f t="shared" si="346"/><v/></c><c r="AB4357" s="3" t="str"><f t="shared" si="342"/><v/></c><c r="AC4357" t="str"><f t="shared" si="347"/><v/></c></row><row r="4358" spans="19:29" x14ac:dyDescent="0.25"><c r="S4358" s="9" t="str"><f t="shared" si="343"/><v/></c><c r="T4358" t="str"><f t="shared" si="344"/><v/></c><c r="U4358" t="str"><f t="shared" si="345"/><v/></c><c r="V4358" t="str"><f t="shared" si="346"/><v/></c><c r="AB4358" s="3" t="str"><f t="shared" si="342"/><v/></c><c r="AC4358" t="str"><f t="shared" si="347"/><v/></c></row><row r="4359" spans="19:29" x14ac:dyDescent="0.25"><c r="S4359" s="9" t="str"><f t="shared" si="343"/><v/></c><c r="T4359" t="str"><f t="shared" si="344"/><v/></c><c r="U4359" t="str"><f t="shared" si="345"/><v/></c><c r="V4359" t="str"><f t="shared" si="346"/><v/></c><c r="AB4359" s="3" t="str"><f t="shared" si="342"/><v/></c><c r="AC4359" t="str"><f t="shared" si="347"/><v/></c></row><row r="4360" spans="19:29" x14ac:dyDescent="0.25"><c r="S4360" s="9" t="str"><f t="shared" si="343"/><v/></c><c r="T4360" t="str"><f t="shared" si="344"/><v/></c><c r="U4360" t="str"><f t="shared" si="345"/><v/></c><c r="V4360" t="str"><f t="shared" si="346"/><v/></c><c r="AB4360" s="3" t="str"><f t="shared" si="342"/><v/></c><c r="AC4360" t="str"><f t="shared" si="347"/><v/></c></row><row r="4361" spans="19:29" x14ac:dyDescent="0.25"><c r="S4361" s="9" t="str"><f t="shared" si="343"/><v/></c><c r="T4361" t="str"><f t="shared" si="344"/><v/></c><c r="U4361" t="str"><f t="shared" si="345"/><v/></c><c r="V4361" t="str"><f t="shared" si="346"/><v/></c><c r="AB4361" s="3" t="str"><f t="shared" si="342"/><v/></c><c r="AC4361" t="str"><f t="shared" si="347"/><v/></c></row><row r="4362" spans="19:29" x14ac:dyDescent="0.25"><c r="S4362" s="9" t="str"><f t="shared" si="343"/><v/></c><c r="T4362" t="str"><f t="shared" si="344"/><v/></c><c r="U4362" t="str"><f t="shared" si="345"/><v/></c><c r="V4362" t="str"><f t="shared" si="346"/><v/></c><c r="AB4362" s="3" t="str"><f t="shared" si="342"/><v/></c><c r="AC4362" t="str"><f t="shared" si="347"/><v/></c></row><row r="4363" spans="19:29" x14ac:dyDescent="0.25"><c r="S4363" s="9" t="str"><f t="shared" si="343"/><v/></c><c r="T4363" t="str"><f t="shared" si="344"/><v/></c><c r="U4363" t="str"><f t="shared" si="345"/><v/></c><c r="V4363" t="str"><f t="shared" si="346"/><v/></c><c r="AB4363" s="3" t="str"><f t="shared" si="342"/><v/></c><c r="AC4363" t="str"><f t="shared" si="347"/><v/></c></row><row r="4364" spans="19:29" x14ac:dyDescent="0.25"><c r="S4364" s="9" t="str"><f t="shared" si="343"/><v/></c><c r="T4364" t="str"><f t="shared" si="344"/><v/></c><c r="U4364" t="str"><f t="shared" si="345"/><v/></c><c r="V4364" t="str"><f t="shared" si="346"/><v/></c><c r="AB4364" s="3" t="str"><f t="shared" si="342"/><v/></c><c r="AC4364" t="str"><f t="shared" si="347"/><v/></c></row><row r="4365" spans="19:29" x14ac:dyDescent="0.25"><c r="S4365" s="9" t="str"><f t="shared" si="343"/><v/></c><c r="T4365" t="str"><f t="shared" si="344"/><v/></c><c r="U4365" t="str"><f t="shared" si="345"/><v/></c><c r="V4365" t="str"><f t="shared" si="346"/><v/></c><c r="AB4365" s="3" t="str"><f t="shared" si="342"/><v/></c><c r="AC4365" t="str"><f t="shared" si="347"/><v/></c></row><row r="4366" spans="19:29" x14ac:dyDescent="0.25"><c r="S4366" s="9" t="str"><f t="shared" si="343"/><v/></c><c r="T4366" t="str"><f t="shared" si="344"/><v/></c><c r="U4366" t="str"><f t="shared" si="345"/><v/></c><c r="V4366" t="str"><f t="shared" si="346"/><v/></c><c r="AB4366" s="3" t="str"><f t="shared" si="342"/><v/></c><c r="AC4366" t="str"><f t="shared" si="347"/><v/></c></row><row r="4367" spans="19:29" x14ac:dyDescent="0.25"><c r="S4367" s="9" t="str"><f t="shared" si="343"/><v/></c><c r="T4367" t="str"><f t="shared" si="344"/><v/></c><c r="U4367" t="str"><f t="shared" si="345"/><v/></c><c r="V4367" t="str"><f t="shared" si="346"/><v/></c><c r="AB4367" s="3" t="str"><f t="shared" si="342"/><v/></c><c r="AC4367" t="str"><f t="shared" si="347"/><v/></c></row><row r="4368" spans="19:29" x14ac:dyDescent="0.25"><c r="S4368" s="9" t="str"><f t="shared" si="343"/><v/></c><c r="T4368" t="str"><f t="shared" si="344"/><v/></c><c r="U4368" t="str"><f t="shared" si="345"/><v/></c><c r="V4368" t="str"><f t="shared" si="346"/><v/></c><c r="AB4368" s="3" t="str"><f t="shared" si="342"/><v/></c><c r="AC4368" t="str"><f t="shared" si="347"/><v/></c></row><row r="4369" spans="19:29" x14ac:dyDescent="0.25"><c r="S4369" s="9" t="str"><f t="shared" si="343"/><v/></c><c r="T4369" t="str"><f t="shared" si="344"/><v/></c><c r="U4369" t="str"><f t="shared" si="345"/><v/></c><c r="V4369" t="str"><f t="shared" si="346"/><v/></c><c r="AB4369" s="3" t="str"><f t="shared" si="342"/><v/></c><c r="AC4369" t="str"><f t="shared" si="347"/><v/></c></row><row r="4370" spans="19:29" x14ac:dyDescent="0.25"><c r="S4370" s="9" t="str"><f t="shared" si="343"/><v/></c><c r="T4370" t="str"><f t="shared" si="344"/><v/></c><c r="U4370" t="str"><f t="shared" si="345"/><v/></c><c r="V4370" t="str"><f t="shared" si="346"/><v/></c><c r="AB4370" s="3" t="str"><f t="shared" si="342"/><v/></c><c r="AC4370" t="str"><f t="shared" si="347"/><v/></c></row><row r="4371" spans="19:29" x14ac:dyDescent="0.25"><c r="S4371" s="9" t="str"><f t="shared" si="343"/><v/></c><c r="T4371" t="str"><f t="shared" si="344"/><v/></c><c r="U4371" t="str"><f t="shared" si="345"/><v/></c><c r="V4371" t="str"><f t="shared" si="346"/><v/></c><c r="AB4371" s="3" t="str"><f t="shared" si="342"/><v/></c><c r="AC4371" t="str"><f t="shared" si="347"/><v/></c></row><row r="4372" spans="19:29" x14ac:dyDescent="0.25"><c r="S4372" s="9" t="str"><f t="shared" si="343"/><v/></c><c r="T4372" t="str"><f t="shared" si="344"/><v/></c><c r="U4372" t="str"><f t="shared" si="345"/><v/></c><c r="V4372" t="str"><f t="shared" si="346"/><v/></c><c r="AB4372" s="3" t="str"><f t="shared" si="342"/><v/></c><c r="AC4372" t="str"><f t="shared" si="347"/><v/></c></row><row r="4373" spans="19:29" x14ac:dyDescent="0.25"><c r="S4373" s="9" t="str"><f t="shared" si="343"/><v/></c><c r="T4373" t="str"><f t="shared" si="344"/><v/></c><c r="U4373" t="str"><f t="shared" si="345"/><v/></c><c r="V4373" t="str"><f t="shared" si="346"/><v/></c><c r="AB4373" s="3" t="str"><f t="shared" si="342"/><v/></c><c r="AC4373" t="str"><f t="shared" si="347"/><v/></c></row><row r="4374" spans="19:29" x14ac:dyDescent="0.25"><c r="S4374" s="9" t="str"><f t="shared" si="343"/><v/></c><c r="T4374" t="str"><f t="shared" si="344"/><v/></c><c r="U4374" t="str"><f t="shared" si="345"/><v/></c><c r="V4374" t="str"><f t="shared" si="346"/><v/></c><c r="AB4374" s="3" t="str"><f t="shared" si="342"/><v/></c><c r="AC4374" t="str"><f t="shared" si="347"/><v/></c></row><row r="4375" spans="19:29" x14ac:dyDescent="0.25"><c r="S4375" s="9" t="str"><f t="shared" si="343"/><v/></c><c r="T4375" t="str"><f t="shared" si="344"/><v/></c><c r="U4375" t="str"><f t="shared" si="345"/><v/></c><c r="V4375" t="str"><f t="shared" si="346"/><v/></c><c r="AB4375" s="3" t="str"><f t="shared" si="342"/><v/></c><c r="AC4375" t="str"><f t="shared" si="347"/><v/></c></row><row r="4376" spans="19:29" x14ac:dyDescent="0.25"><c r="S4376" s="9" t="str"><f t="shared" si="343"/><v/></c><c r="T4376" t="str"><f t="shared" si="344"/><v/></c><c r="U4376" t="str"><f t="shared" si="345"/><v/></c><c r="V4376" t="str"><f t="shared" si="346"/><v/></c><c r="AB4376" s="3" t="str"><f t="shared" si="342"/><v/></c><c r="AC4376" t="str"><f t="shared" si="347"/><v/></c></row><row r="4377" spans="19:29" x14ac:dyDescent="0.25"><c r="S4377" s="9" t="str"><f t="shared" si="343"/><v/></c><c r="T4377" t="str"><f t="shared" si="344"/><v/></c><c r="U4377" t="str"><f t="shared" si="345"/><v/></c><c r="V4377" t="str"><f t="shared" si="346"/><v/></c><c r="AB4377" s="3" t="str"><f t="shared" si="342"/><v/></c><c r="AC4377" t="str"><f t="shared" si="347"/><v/></c></row><row r="4378" spans="19:29" x14ac:dyDescent="0.25"><c r="S4378" s="9" t="str"><f t="shared" si="343"/><v/></c><c r="T4378" t="str"><f t="shared" si="344"/><v/></c><c r="U4378" t="str"><f t="shared" si="345"/><v/></c><c r="V4378" t="str"><f t="shared" si="346"/><v/></c><c r="AB4378" s="3" t="str"><f t="shared" si="342"/><v/></c><c r="AC4378" t="str"><f t="shared" si="347"/><v/></c></row><row r="4379" spans="19:29" x14ac:dyDescent="0.25"><c r="S4379" s="9" t="str"><f t="shared" si="343"/><v/></c><c r="T4379" t="str"><f t="shared" si="344"/><v/></c><c r="U4379" t="str"><f t="shared" si="345"/><v/></c><c r="V4379" t="str"><f t="shared" si="346"/><v/></c><c r="AB4379" s="3" t="str"><f t="shared" si="342"/><v/></c><c r="AC4379" t="str"><f t="shared" si="347"/><v/></c></row><row r="4380" spans="19:29" x14ac:dyDescent="0.25"><c r="S4380" s="9" t="str"><f t="shared" si="343"/><v/></c><c r="T4380" t="str"><f t="shared" si="344"/><v/></c><c r="U4380" t="str"><f t="shared" si="345"/><v/></c><c r="V4380" t="str"><f t="shared" si="346"/><v/></c><c r="AB4380" s="3" t="str"><f t="shared" si="342"/><v/></c><c r="AC4380" t="str"><f t="shared" si="347"/><v/></c></row><row r="4381" spans="19:29" x14ac:dyDescent="0.25"><c r="S4381" s="9" t="str"><f t="shared" si="343"/><v/></c><c r="T4381" t="str"><f t="shared" si="344"/><v/></c><c r="U4381" t="str"><f t="shared" si="345"/><v/></c><c r="V4381" t="str"><f t="shared" si="346"/><v/></c><c r="AB4381" s="3" t="str"><f t="shared" si="342"/><v/></c><c r="AC4381" t="str"><f t="shared" si="347"/><v/></c></row><row r="4382" spans="19:29" x14ac:dyDescent="0.25"><c r="S4382" s="9" t="str"><f t="shared" si="343"/><v/></c><c r="T4382" t="str"><f t="shared" si="344"/><v/></c><c r="U4382" t="str"><f t="shared" si="345"/><v/></c><c r="V4382" t="str"><f t="shared" si="346"/><v/></c><c r="AB4382" s="3" t="str"><f t="shared" si="342"/><v/></c><c r="AC4382" t="str"><f t="shared" si="347"/><v/></c></row><row r="4383" spans="19:29" x14ac:dyDescent="0.25"><c r="S4383" s="9" t="str"><f t="shared" si="343"/><v/></c><c r="T4383" t="str"><f t="shared" si="344"/><v/></c><c r="U4383" t="str"><f t="shared" si="345"/><v/></c><c r="V4383" t="str"><f t="shared" si="346"/><v/></c><c r="AB4383" s="3" t="str"><f t="shared" si="342"/><v/></c><c r="AC4383" t="str"><f t="shared" si="347"/><v/></c></row><row r="4384" spans="19:29" x14ac:dyDescent="0.25"><c r="S4384" s="9" t="str"><f t="shared" si="343"/><v/></c><c r="T4384" t="str"><f t="shared" si="344"/><v/></c><c r="U4384" t="str"><f t="shared" si="345"/><v/></c><c r="V4384" t="str"><f t="shared" si="346"/><v/></c><c r="AB4384" s="3" t="str"><f t="shared" si="342"/><v/></c><c r="AC4384" t="str"><f t="shared" si="347"/><v/></c></row><row r="4385" spans="19:29" x14ac:dyDescent="0.25"><c r="S4385" s="9" t="str"><f t="shared" si="343"/><v/></c><c r="T4385" t="str"><f t="shared" si="344"/><v/></c><c r="U4385" t="str"><f t="shared" si="345"/><v/></c><c r="V4385" t="str"><f t="shared" si="346"/><v/></c><c r="AB4385" s="3" t="str"><f t="shared" si="342"/><v/></c><c r="AC4385" t="str"><f t="shared" si="347"/><v/></c></row><row r="4386" spans="19:29" x14ac:dyDescent="0.25"><c r="S4386" s="9" t="str"><f t="shared" si="343"/><v/></c><c r="T4386" t="str"><f t="shared" si="344"/><v/></c><c r="U4386" t="str"><f t="shared" si="345"/><v/></c><c r="V4386" t="str"><f t="shared" si="346"/><v/></c><c r="AB4386" s="3" t="str"><f t="shared" si="342"/><v/></c><c r="AC4386" t="str"><f t="shared" si="347"/><v/></c></row><row r="4387" spans="19:29" x14ac:dyDescent="0.25"><c r="S4387" s="9" t="str"><f t="shared" si="343"/><v/></c><c r="T4387" t="str"><f t="shared" si="344"/><v/></c><c r="U4387" t="str"><f t="shared" si="345"/><v/></c><c r="V4387" t="str"><f t="shared" si="346"/><v/></c><c r="AB4387" s="3" t="str"><f t="shared" si="342"/><v/></c><c r="AC4387" t="str"><f t="shared" si="347"/><v/></c></row><row r="4388" spans="19:29" x14ac:dyDescent="0.25"><c r="S4388" s="9" t="str"><f t="shared" si="343"/><v/></c><c r="T4388" t="str"><f t="shared" si="344"/><v/></c><c r="U4388" t="str"><f t="shared" si="345"/><v/></c><c r="V4388" t="str"><f t="shared" si="346"/><v/></c><c r="AB4388" s="3" t="str"><f t="shared" si="342"/><v/></c><c r="AC4388" t="str"><f t="shared" si="347"/><v/></c></row><row r="4389" spans="19:29" x14ac:dyDescent="0.25"><c r="S4389" s="9" t="str"><f t="shared" si="343"/><v/></c><c r="T4389" t="str"><f t="shared" si="344"/><v/></c><c r="U4389" t="str"><f t="shared" si="345"/><v/></c><c r="V4389" t="str"><f t="shared" si="346"/><v/></c><c r="AB4389" s="3" t="str"><f t="shared" si="342"/><v/></c><c r="AC4389" t="str"><f t="shared" si="347"/><v/></c></row><row r="4390" spans="19:29" x14ac:dyDescent="0.25"><c r="S4390" s="9" t="str"><f t="shared" si="343"/><v/></c><c r="T4390" t="str"><f t="shared" si="344"/><v/></c><c r="U4390" t="str"><f t="shared" si="345"/><v/></c><c r="V4390" t="str"><f t="shared" si="346"/><v/></c><c r="AB4390" s="3" t="str"><f t="shared" si="342"/><v/></c><c r="AC4390" t="str"><f t="shared" si="347"/><v/></c></row><row r="4391" spans="19:29" x14ac:dyDescent="0.25"><c r="S4391" s="9" t="str"><f t="shared" si="343"/><v/></c><c r="T4391" t="str"><f t="shared" si="344"/><v/></c><c r="U4391" t="str"><f t="shared" si="345"/><v/></c><c r="V4391" t="str"><f t="shared" si="346"/><v/></c><c r="AB4391" s="3" t="str"><f t="shared" si="342"/><v/></c><c r="AC4391" t="str"><f t="shared" si="347"/><v/></c></row><row r="4392" spans="19:29" x14ac:dyDescent="0.25"><c r="S4392" s="9" t="str"><f t="shared" si="343"/><v/></c><c r="T4392" t="str"><f t="shared" si="344"/><v/></c><c r="U4392" t="str"><f t="shared" si="345"/><v/></c><c r="V4392" t="str"><f t="shared" si="346"/><v/></c><c r="AB4392" s="3" t="str"><f t="shared" si="342"/><v/></c><c r="AC4392" t="str"><f t="shared" si="347"/><v/></c></row><row r="4393" spans="19:29" x14ac:dyDescent="0.25"><c r="S4393" s="9" t="str"><f t="shared" si="343"/><v/></c><c r="T4393" t="str"><f t="shared" si="344"/><v/></c><c r="U4393" t="str"><f t="shared" si="345"/><v/></c><c r="V4393" t="str"><f t="shared" si="346"/><v/></c><c r="AB4393" s="3" t="str"><f t="shared" si="342"/><v/></c><c r="AC4393" t="str"><f t="shared" si="347"/><v/></c></row><row r="4394" spans="19:29" x14ac:dyDescent="0.25"><c r="S4394" s="9" t="str"><f t="shared" si="343"/><v/></c><c r="T4394" t="str"><f t="shared" si="344"/><v/></c><c r="U4394" t="str"><f t="shared" si="345"/><v/></c><c r="V4394" t="str"><f t="shared" si="346"/><v/></c><c r="AB4394" s="3" t="str"><f t="shared" si="342"/><v/></c><c r="AC4394" t="str"><f t="shared" si="347"/><v/></c></row><row r="4395" spans="19:29" x14ac:dyDescent="0.25"><c r="S4395" s="9" t="str"><f t="shared" si="343"/><v/></c><c r="T4395" t="str"><f t="shared" si="344"/><v/></c><c r="U4395" t="str"><f t="shared" si="345"/><v/></c><c r="V4395" t="str"><f t="shared" si="346"/><v/></c><c r="AB4395" s="3" t="str"><f t="shared" si="342"/><v/></c><c r="AC4395" t="str"><f t="shared" si="347"/><v/></c></row><row r="4396" spans="19:29" x14ac:dyDescent="0.25"><c r="S4396" s="9" t="str"><f t="shared" si="343"/><v/></c><c r="T4396" t="str"><f t="shared" si="344"/><v/></c><c r="U4396" t="str"><f t="shared" si="345"/><v/></c><c r="V4396" t="str"><f t="shared" si="346"/><v/></c><c r="AB4396" s="3" t="str"><f t="shared" si="342"/><v/></c><c r="AC4396" t="str"><f t="shared" si="347"/><v/></c></row><row r="4397" spans="19:29" x14ac:dyDescent="0.25"><c r="S4397" s="9" t="str"><f t="shared" si="343"/><v/></c><c r="T4397" t="str"><f t="shared" si="344"/><v/></c><c r="U4397" t="str"><f t="shared" si="345"/><v/></c><c r="V4397" t="str"><f t="shared" si="346"/><v/></c><c r="AB4397" s="3" t="str"><f t="shared" si="342"/><v/></c><c r="AC4397" t="str"><f t="shared" si="347"/><v/></c></row><row r="4398" spans="19:29" x14ac:dyDescent="0.25"><c r="S4398" s="9" t="str"><f t="shared" si="343"/><v/></c><c r="T4398" t="str"><f t="shared" si="344"/><v/></c><c r="U4398" t="str"><f t="shared" si="345"/><v/></c><c r="V4398" t="str"><f t="shared" si="346"/><v/></c><c r="AB4398" s="3" t="str"><f t="shared" si="342"/><v/></c><c r="AC4398" t="str"><f t="shared" si="347"/><v/></c></row><row r="4399" spans="19:29" x14ac:dyDescent="0.25"><c r="S4399" s="9" t="str"><f t="shared" si="343"/><v/></c><c r="T4399" t="str"><f t="shared" si="344"/><v/></c><c r="U4399" t="str"><f t="shared" si="345"/><v/></c><c r="V4399" t="str"><f t="shared" si="346"/><v/></c><c r="AB4399" s="3" t="str"><f t="shared" si="342"/><v/></c><c r="AC4399" t="str"><f t="shared" si="347"/><v/></c></row><row r="4400" spans="19:29" x14ac:dyDescent="0.25"><c r="S4400" s="9" t="str"><f t="shared" si="343"/><v/></c><c r="T4400" t="str"><f t="shared" si="344"/><v/></c><c r="U4400" t="str"><f t="shared" si="345"/><v/></c><c r="V4400" t="str"><f t="shared" si="346"/><v/></c><c r="AB4400" s="3" t="str"><f t="shared" si="342"/><v/></c><c r="AC4400" t="str"><f t="shared" si="347"/><v/></c></row><row r="4401" spans="19:29" x14ac:dyDescent="0.25"><c r="S4401" s="9" t="str"><f t="shared" si="343"/><v/></c><c r="T4401" t="str"><f t="shared" si="344"/><v/></c><c r="U4401" t="str"><f t="shared" si="345"/><v/></c><c r="V4401" t="str"><f t="shared" si="346"/><v/></c><c r="AB4401" s="3" t="str"><f t="shared" si="342"/><v/></c><c r="AC4401" t="str"><f t="shared" si="347"/><v/></c></row><row r="4402" spans="19:29" x14ac:dyDescent="0.25"><c r="S4402" s="9" t="str"><f t="shared" si="343"/><v/></c><c r="T4402" t="str"><f t="shared" si="344"/><v/></c><c r="U4402" t="str"><f t="shared" si="345"/><v/></c><c r="V4402" t="str"><f t="shared" si="346"/><v/></c><c r="AB4402" s="3" t="str"><f t="shared" si="342"/><v/></c><c r="AC4402" t="str"><f t="shared" si="347"/><v/></c></row><row r="4403" spans="19:29" x14ac:dyDescent="0.25"><c r="S4403" s="9" t="str"><f t="shared" si="343"/><v/></c><c r="T4403" t="str"><f t="shared" si="344"/><v/></c><c r="U4403" t="str"><f t="shared" si="345"/><v/></c><c r="V4403" t="str"><f t="shared" si="346"/><v/></c><c r="AB4403" s="3" t="str"><f t="shared" si="342"/><v/></c><c r="AC4403" t="str"><f t="shared" si="347"/><v/></c></row><row r="4404" spans="19:29" x14ac:dyDescent="0.25"><c r="S4404" s="9" t="str"><f t="shared" si="343"/><v/></c><c r="T4404" t="str"><f t="shared" si="344"/><v/></c><c r="U4404" t="str"><f t="shared" si="345"/><v/></c><c r="V4404" t="str"><f t="shared" si="346"/><v/></c><c r="AB4404" s="3" t="str"><f t="shared" si="342"/><v/></c><c r="AC4404" t="str"><f t="shared" si="347"/><v/></c></row><row r="4405" spans="19:29" x14ac:dyDescent="0.25"><c r="S4405" s="9" t="str"><f t="shared" si="343"/><v/></c><c r="T4405" t="str"><f t="shared" si="344"/><v/></c><c r="U4405" t="str"><f t="shared" si="345"/><v/></c><c r="V4405" t="str"><f t="shared" si="346"/><v/></c><c r="AB4405" s="3" t="str"><f t="shared" si="342"/><v/></c><c r="AC4405" t="str"><f t="shared" si="347"/><v/></c></row><row r="4406" spans="19:29" x14ac:dyDescent="0.25"><c r="S4406" s="9" t="str"><f t="shared" si="343"/><v/></c><c r="T4406" t="str"><f t="shared" si="344"/><v/></c><c r="U4406" t="str"><f t="shared" si="345"/><v/></c><c r="V4406" t="str"><f t="shared" si="346"/><v/></c><c r="AB4406" s="3" t="str"><f t="shared" si="342"/><v/></c><c r="AC4406" t="str"><f t="shared" si="347"/><v/></c></row><row r="4407" spans="19:29" x14ac:dyDescent="0.25"><c r="S4407" s="9" t="str"><f t="shared" si="343"/><v/></c><c r="T4407" t="str"><f t="shared" si="344"/><v/></c><c r="U4407" t="str"><f t="shared" si="345"/><v/></c><c r="V4407" t="str"><f t="shared" si="346"/><v/></c><c r="AB4407" s="3" t="str"><f t="shared" si="342"/><v/></c><c r="AC4407" t="str"><f t="shared" si="347"/><v/></c></row><row r="4408" spans="19:29" x14ac:dyDescent="0.25"><c r="S4408" s="9" t="str"><f t="shared" si="343"/><v/></c><c r="T4408" t="str"><f t="shared" si="344"/><v/></c><c r="U4408" t="str"><f t="shared" si="345"/><v/></c><c r="V4408" t="str"><f t="shared" si="346"/><v/></c><c r="AB4408" s="3" t="str"><f t="shared" si="342"/><v/></c><c r="AC4408" t="str"><f t="shared" si="347"/><v/></c></row><row r="4409" spans="19:29" x14ac:dyDescent="0.25"><c r="S4409" s="9" t="str"><f t="shared" si="343"/><v/></c><c r="T4409" t="str"><f t="shared" si="344"/><v/></c><c r="U4409" t="str"><f t="shared" si="345"/><v/></c><c r="V4409" t="str"><f t="shared" si="346"/><v/></c><c r="AB4409" s="3" t="str"><f t="shared" si="342"/><v/></c><c r="AC4409" t="str"><f t="shared" si="347"/><v/></c></row><row r="4410" spans="19:29" x14ac:dyDescent="0.25"><c r="S4410" s="9" t="str"><f t="shared" si="343"/><v/></c><c r="T4410" t="str"><f t="shared" si="344"/><v/></c><c r="U4410" t="str"><f t="shared" si="345"/><v/></c><c r="V4410" t="str"><f t="shared" si="346"/><v/></c><c r="AB4410" s="3" t="str"><f t="shared" si="342"/><v/></c><c r="AC4410" t="str"><f t="shared" si="347"/><v/></c></row><row r="4411" spans="19:29" x14ac:dyDescent="0.25"><c r="S4411" s="9" t="str"><f t="shared" si="343"/><v/></c><c r="T4411" t="str"><f t="shared" si="344"/><v/></c><c r="U4411" t="str"><f t="shared" si="345"/><v/></c><c r="V4411" t="str"><f t="shared" si="346"/><v/></c><c r="AB4411" s="3" t="str"><f t="shared" si="342"/><v/></c><c r="AC4411" t="str"><f t="shared" si="347"/><v/></c></row><row r="4412" spans="19:29" x14ac:dyDescent="0.25"><c r="S4412" s="9" t="str"><f t="shared" si="343"/><v/></c><c r="T4412" t="str"><f t="shared" si="344"/><v/></c><c r="U4412" t="str"><f t="shared" si="345"/><v/></c><c r="V4412" t="str"><f t="shared" si="346"/><v/></c><c r="AB4412" s="3" t="str"><f t="shared" si="342"/><v/></c><c r="AC4412" t="str"><f t="shared" si="347"/><v/></c></row><row r="4413" spans="19:29" x14ac:dyDescent="0.25"><c r="S4413" s="9" t="str"><f t="shared" si="343"/><v/></c><c r="T4413" t="str"><f t="shared" si="344"/><v/></c><c r="U4413" t="str"><f t="shared" si="345"/><v/></c><c r="V4413" t="str"><f t="shared" si="346"/><v/></c><c r="AB4413" s="3" t="str"><f t="shared" si="342"/><v/></c><c r="AC4413" t="str"><f t="shared" si="347"/><v/></c></row><row r="4414" spans="19:29" x14ac:dyDescent="0.25"><c r="S4414" s="9" t="str"><f t="shared" si="343"/><v/></c><c r="T4414" t="str"><f t="shared" si="344"/><v/></c><c r="U4414" t="str"><f t="shared" si="345"/><v/></c><c r="V4414" t="str"><f t="shared" si="346"/><v/></c><c r="AB4414" s="3" t="str"><f t="shared" si="342"/><v/></c><c r="AC4414" t="str"><f t="shared" si="347"/><v/></c></row><row r="4415" spans="19:29" x14ac:dyDescent="0.25"><c r="S4415" s="9" t="str"><f t="shared" si="343"/><v/></c><c r="T4415" t="str"><f t="shared" si="344"/><v/></c><c r="U4415" t="str"><f t="shared" si="345"/><v/></c><c r="V4415" t="str"><f t="shared" si="346"/><v/></c><c r="AB4415" s="3" t="str"><f t="shared" si="342"/><v/></c><c r="AC4415" t="str"><f t="shared" si="347"/><v/></c></row><row r="4416" spans="19:29" x14ac:dyDescent="0.25"><c r="S4416" s="9" t="str"><f t="shared" si="343"/><v/></c><c r="T4416" t="str"><f t="shared" si="344"/><v/></c><c r="U4416" t="str"><f t="shared" si="345"/><v/></c><c r="V4416" t="str"><f t="shared" si="346"/><v/></c><c r="AB4416" s="3" t="str"><f t="shared" si="342"/><v/></c><c r="AC4416" t="str"><f t="shared" si="347"/><v/></c></row><row r="4417" spans="19:29" x14ac:dyDescent="0.25"><c r="S4417" s="9" t="str"><f t="shared" si="343"/><v/></c><c r="T4417" t="str"><f t="shared" si="344"/><v/></c><c r="U4417" t="str"><f t="shared" si="345"/><v/></c><c r="V4417" t="str"><f t="shared" si="346"/><v/></c><c r="AB4417" s="3" t="str"><f t="shared" si="342"/><v/></c><c r="AC4417" t="str"><f t="shared" si="347"/><v/></c></row><row r="4418" spans="19:29" x14ac:dyDescent="0.25"><c r="S4418" s="9" t="str"><f t="shared" si="343"/><v/></c><c r="T4418" t="str"><f t="shared" si="344"/><v/></c><c r="U4418" t="str"><f t="shared" si="345"/><v/></c><c r="V4418" t="str"><f t="shared" si="346"/><v/></c><c r="AB4418" s="3" t="str"><f t="shared" ref="AB4418:AB4481" si="348">IF(ISBLANK(B4418),"", "10")</f><v/></c><c r="AC4418" t="str"><f t="shared" si="347"/><v/></c></row><row r="4419" spans="19:29" x14ac:dyDescent="0.25"><c r="S4419" s="9" t="str"><f t="shared" ref="S4419:S4482" si="349">IF(ISBLANK(B4419),"",B4419 )</f><v/></c><c r="T4419" t="str"><f t="shared" ref="T4419:T4482" si="350">IF(ISBLANK(B4419),"",B4419 )</f><v/></c><c r="U4419" t="str"><f t="shared" ref="U4419:U4482" si="351">IF(ISBLANK(B4419),"",B4419 )</f><v/></c><c r="V4419" t="str"><f t="shared" ref="V4419:V4482" si="352">IF(ISBLANK(B4419),"", "SHOP_SKU")</f><v/></c><c r="AB4419" s="3" t="str"><f t="shared" si="348"/><v/></c><c r="AC4419" t="str"><f t="shared" ref="AC4419:AC4482" si="353">IF(ISBLANK(B4419),"", "New")</f><v/></c></row><row r="4420" spans="19:29" x14ac:dyDescent="0.25"><c r="S4420" s="9" t="str"><f t="shared" si="349"/><v/></c><c r="T4420" t="str"><f t="shared" si="350"/><v/></c><c r="U4420" t="str"><f t="shared" si="351"/><v/></c><c r="V4420" t="str"><f t="shared" si="352"/><v/></c><c r="AB4420" s="3" t="str"><f t="shared" si="348"/><v/></c><c r="AC4420" t="str"><f t="shared" si="353"/><v/></c></row><row r="4421" spans="19:29" x14ac:dyDescent="0.25"><c r="S4421" s="9" t="str"><f t="shared" si="349"/><v/></c><c r="T4421" t="str"><f t="shared" si="350"/><v/></c><c r="U4421" t="str"><f t="shared" si="351"/><v/></c><c r="V4421" t="str"><f t="shared" si="352"/><v/></c><c r="AB4421" s="3" t="str"><f t="shared" si="348"/><v/></c><c r="AC4421" t="str"><f t="shared" si="353"/><v/></c></row><row r="4422" spans="19:29" x14ac:dyDescent="0.25"><c r="S4422" s="9" t="str"><f t="shared" si="349"/><v/></c><c r="T4422" t="str"><f t="shared" si="350"/><v/></c><c r="U4422" t="str"><f t="shared" si="351"/><v/></c><c r="V4422" t="str"><f t="shared" si="352"/><v/></c><c r="AB4422" s="3" t="str"><f t="shared" si="348"/><v/></c><c r="AC4422" t="str"><f t="shared" si="353"/><v/></c></row><row r="4423" spans="19:29" x14ac:dyDescent="0.25"><c r="S4423" s="9" t="str"><f t="shared" si="349"/><v/></c><c r="T4423" t="str"><f t="shared" si="350"/><v/></c><c r="U4423" t="str"><f t="shared" si="351"/><v/></c><c r="V4423" t="str"><f t="shared" si="352"/><v/></c><c r="AB4423" s="3" t="str"><f t="shared" si="348"/><v/></c><c r="AC4423" t="str"><f t="shared" si="353"/><v/></c></row><row r="4424" spans="19:29" x14ac:dyDescent="0.25"><c r="S4424" s="9" t="str"><f t="shared" si="349"/><v/></c><c r="T4424" t="str"><f t="shared" si="350"/><v/></c><c r="U4424" t="str"><f t="shared" si="351"/><v/></c><c r="V4424" t="str"><f t="shared" si="352"/><v/></c><c r="AB4424" s="3" t="str"><f t="shared" si="348"/><v/></c><c r="AC4424" t="str"><f t="shared" si="353"/><v/></c></row><row r="4425" spans="19:29" x14ac:dyDescent="0.25"><c r="S4425" s="9" t="str"><f t="shared" si="349"/><v/></c><c r="T4425" t="str"><f t="shared" si="350"/><v/></c><c r="U4425" t="str"><f t="shared" si="351"/><v/></c><c r="V4425" t="str"><f t="shared" si="352"/><v/></c><c r="AB4425" s="3" t="str"><f t="shared" si="348"/><v/></c><c r="AC4425" t="str"><f t="shared" si="353"/><v/></c></row><row r="4426" spans="19:29" x14ac:dyDescent="0.25"><c r="S4426" s="9" t="str"><f t="shared" si="349"/><v/></c><c r="T4426" t="str"><f t="shared" si="350"/><v/></c><c r="U4426" t="str"><f t="shared" si="351"/><v/></c><c r="V4426" t="str"><f t="shared" si="352"/><v/></c><c r="AB4426" s="3" t="str"><f t="shared" si="348"/><v/></c><c r="AC4426" t="str"><f t="shared" si="353"/><v/></c></row><row r="4427" spans="19:29" x14ac:dyDescent="0.25"><c r="S4427" s="9" t="str"><f t="shared" si="349"/><v/></c><c r="T4427" t="str"><f t="shared" si="350"/><v/></c><c r="U4427" t="str"><f t="shared" si="351"/><v/></c><c r="V4427" t="str"><f t="shared" si="352"/><v/></c><c r="AB4427" s="3" t="str"><f t="shared" si="348"/><v/></c><c r="AC4427" t="str"><f t="shared" si="353"/><v/></c></row><row r="4428" spans="19:29" x14ac:dyDescent="0.25"><c r="S4428" s="9" t="str"><f t="shared" si="349"/><v/></c><c r="T4428" t="str"><f t="shared" si="350"/><v/></c><c r="U4428" t="str"><f t="shared" si="351"/><v/></c><c r="V4428" t="str"><f t="shared" si="352"/><v/></c><c r="AB4428" s="3" t="str"><f t="shared" si="348"/><v/></c><c r="AC4428" t="str"><f t="shared" si="353"/><v/></c></row><row r="4429" spans="19:29" x14ac:dyDescent="0.25"><c r="S4429" s="9" t="str"><f t="shared" si="349"/><v/></c><c r="T4429" t="str"><f t="shared" si="350"/><v/></c><c r="U4429" t="str"><f t="shared" si="351"/><v/></c><c r="V4429" t="str"><f t="shared" si="352"/><v/></c><c r="AB4429" s="3" t="str"><f t="shared" si="348"/><v/></c><c r="AC4429" t="str"><f t="shared" si="353"/><v/></c></row><row r="4430" spans="19:29" x14ac:dyDescent="0.25"><c r="S4430" s="9" t="str"><f t="shared" si="349"/><v/></c><c r="T4430" t="str"><f t="shared" si="350"/><v/></c><c r="U4430" t="str"><f t="shared" si="351"/><v/></c><c r="V4430" t="str"><f t="shared" si="352"/><v/></c><c r="AB4430" s="3" t="str"><f t="shared" si="348"/><v/></c><c r="AC4430" t="str"><f t="shared" si="353"/><v/></c></row><row r="4431" spans="19:29" x14ac:dyDescent="0.25"><c r="S4431" s="9" t="str"><f t="shared" si="349"/><v/></c><c r="T4431" t="str"><f t="shared" si="350"/><v/></c><c r="U4431" t="str"><f t="shared" si="351"/><v/></c><c r="V4431" t="str"><f t="shared" si="352"/><v/></c><c r="AB4431" s="3" t="str"><f t="shared" si="348"/><v/></c><c r="AC4431" t="str"><f t="shared" si="353"/><v/></c></row><row r="4432" spans="19:29" x14ac:dyDescent="0.25"><c r="S4432" s="9" t="str"><f t="shared" si="349"/><v/></c><c r="T4432" t="str"><f t="shared" si="350"/><v/></c><c r="U4432" t="str"><f t="shared" si="351"/><v/></c><c r="V4432" t="str"><f t="shared" si="352"/><v/></c><c r="AB4432" s="3" t="str"><f t="shared" si="348"/><v/></c><c r="AC4432" t="str"><f t="shared" si="353"/><v/></c></row><row r="4433" spans="19:29" x14ac:dyDescent="0.25"><c r="S4433" s="9" t="str"><f t="shared" si="349"/><v/></c><c r="T4433" t="str"><f t="shared" si="350"/><v/></c><c r="U4433" t="str"><f t="shared" si="351"/><v/></c><c r="V4433" t="str"><f t="shared" si="352"/><v/></c><c r="AB4433" s="3" t="str"><f t="shared" si="348"/><v/></c><c r="AC4433" t="str"><f t="shared" si="353"/><v/></c></row><row r="4434" spans="19:29" x14ac:dyDescent="0.25"><c r="S4434" s="9" t="str"><f t="shared" si="349"/><v/></c><c r="T4434" t="str"><f t="shared" si="350"/><v/></c><c r="U4434" t="str"><f t="shared" si="351"/><v/></c><c r="V4434" t="str"><f t="shared" si="352"/><v/></c><c r="AB4434" s="3" t="str"><f t="shared" si="348"/><v/></c><c r="AC4434" t="str"><f t="shared" si="353"/><v/></c></row><row r="4435" spans="19:29" x14ac:dyDescent="0.25"><c r="S4435" s="9" t="str"><f t="shared" si="349"/><v/></c><c r="T4435" t="str"><f t="shared" si="350"/><v/></c><c r="U4435" t="str"><f t="shared" si="351"/><v/></c><c r="V4435" t="str"><f t="shared" si="352"/><v/></c><c r="AB4435" s="3" t="str"><f t="shared" si="348"/><v/></c><c r="AC4435" t="str"><f t="shared" si="353"/><v/></c></row><row r="4436" spans="19:29" x14ac:dyDescent="0.25"><c r="S4436" s="9" t="str"><f t="shared" si="349"/><v/></c><c r="T4436" t="str"><f t="shared" si="350"/><v/></c><c r="U4436" t="str"><f t="shared" si="351"/><v/></c><c r="V4436" t="str"><f t="shared" si="352"/><v/></c><c r="AB4436" s="3" t="str"><f t="shared" si="348"/><v/></c><c r="AC4436" t="str"><f t="shared" si="353"/><v/></c></row><row r="4437" spans="19:29" x14ac:dyDescent="0.25"><c r="S4437" s="9" t="str"><f t="shared" si="349"/><v/></c><c r="T4437" t="str"><f t="shared" si="350"/><v/></c><c r="U4437" t="str"><f t="shared" si="351"/><v/></c><c r="V4437" t="str"><f t="shared" si="352"/><v/></c><c r="AB4437" s="3" t="str"><f t="shared" si="348"/><v/></c><c r="AC4437" t="str"><f t="shared" si="353"/><v/></c></row><row r="4438" spans="19:29" x14ac:dyDescent="0.25"><c r="S4438" s="9" t="str"><f t="shared" si="349"/><v/></c><c r="T4438" t="str"><f t="shared" si="350"/><v/></c><c r="U4438" t="str"><f t="shared" si="351"/><v/></c><c r="V4438" t="str"><f t="shared" si="352"/><v/></c><c r="AB4438" s="3" t="str"><f t="shared" si="348"/><v/></c><c r="AC4438" t="str"><f t="shared" si="353"/><v/></c></row><row r="4439" spans="19:29" x14ac:dyDescent="0.25"><c r="S4439" s="9" t="str"><f t="shared" si="349"/><v/></c><c r="T4439" t="str"><f t="shared" si="350"/><v/></c><c r="U4439" t="str"><f t="shared" si="351"/><v/></c><c r="V4439" t="str"><f t="shared" si="352"/><v/></c><c r="AB4439" s="3" t="str"><f t="shared" si="348"/><v/></c><c r="AC4439" t="str"><f t="shared" si="353"/><v/></c></row><row r="4440" spans="19:29" x14ac:dyDescent="0.25"><c r="S4440" s="9" t="str"><f t="shared" si="349"/><v/></c><c r="T4440" t="str"><f t="shared" si="350"/><v/></c><c r="U4440" t="str"><f t="shared" si="351"/><v/></c><c r="V4440" t="str"><f t="shared" si="352"/><v/></c><c r="AB4440" s="3" t="str"><f t="shared" si="348"/><v/></c><c r="AC4440" t="str"><f t="shared" si="353"/><v/></c></row><row r="4441" spans="19:29" x14ac:dyDescent="0.25"><c r="S4441" s="9" t="str"><f t="shared" si="349"/><v/></c><c r="T4441" t="str"><f t="shared" si="350"/><v/></c><c r="U4441" t="str"><f t="shared" si="351"/><v/></c><c r="V4441" t="str"><f t="shared" si="352"/><v/></c><c r="AB4441" s="3" t="str"><f t="shared" si="348"/><v/></c><c r="AC4441" t="str"><f t="shared" si="353"/><v/></c></row><row r="4442" spans="19:29" x14ac:dyDescent="0.25"><c r="S4442" s="9" t="str"><f t="shared" si="349"/><v/></c><c r="T4442" t="str"><f t="shared" si="350"/><v/></c><c r="U4442" t="str"><f t="shared" si="351"/><v/></c><c r="V4442" t="str"><f t="shared" si="352"/><v/></c><c r="AB4442" s="3" t="str"><f t="shared" si="348"/><v/></c><c r="AC4442" t="str"><f t="shared" si="353"/><v/></c></row><row r="4443" spans="19:29" x14ac:dyDescent="0.25"><c r="S4443" s="9" t="str"><f t="shared" si="349"/><v/></c><c r="T4443" t="str"><f t="shared" si="350"/><v/></c><c r="U4443" t="str"><f t="shared" si="351"/><v/></c><c r="V4443" t="str"><f t="shared" si="352"/><v/></c><c r="AB4443" s="3" t="str"><f t="shared" si="348"/><v/></c><c r="AC4443" t="str"><f t="shared" si="353"/><v/></c></row><row r="4444" spans="19:29" x14ac:dyDescent="0.25"><c r="S4444" s="9" t="str"><f t="shared" si="349"/><v/></c><c r="T4444" t="str"><f t="shared" si="350"/><v/></c><c r="U4444" t="str"><f t="shared" si="351"/><v/></c><c r="V4444" t="str"><f t="shared" si="352"/><v/></c><c r="AB4444" s="3" t="str"><f t="shared" si="348"/><v/></c><c r="AC4444" t="str"><f t="shared" si="353"/><v/></c></row><row r="4445" spans="19:29" x14ac:dyDescent="0.25"><c r="S4445" s="9" t="str"><f t="shared" si="349"/><v/></c><c r="T4445" t="str"><f t="shared" si="350"/><v/></c><c r="U4445" t="str"><f t="shared" si="351"/><v/></c><c r="V4445" t="str"><f t="shared" si="352"/><v/></c><c r="AB4445" s="3" t="str"><f t="shared" si="348"/><v/></c><c r="AC4445" t="str"><f t="shared" si="353"/><v/></c></row><row r="4446" spans="19:29" x14ac:dyDescent="0.25"><c r="S4446" s="9" t="str"><f t="shared" si="349"/><v/></c><c r="T4446" t="str"><f t="shared" si="350"/><v/></c><c r="U4446" t="str"><f t="shared" si="351"/><v/></c><c r="V4446" t="str"><f t="shared" si="352"/><v/></c><c r="AB4446" s="3" t="str"><f t="shared" si="348"/><v/></c><c r="AC4446" t="str"><f t="shared" si="353"/><v/></c></row><row r="4447" spans="19:29" x14ac:dyDescent="0.25"><c r="S4447" s="9" t="str"><f t="shared" si="349"/><v/></c><c r="T4447" t="str"><f t="shared" si="350"/><v/></c><c r="U4447" t="str"><f t="shared" si="351"/><v/></c><c r="V4447" t="str"><f t="shared" si="352"/><v/></c><c r="AB4447" s="3" t="str"><f t="shared" si="348"/><v/></c><c r="AC4447" t="str"><f t="shared" si="353"/><v/></c></row><row r="4448" spans="19:29" x14ac:dyDescent="0.25"><c r="S4448" s="9" t="str"><f t="shared" si="349"/><v/></c><c r="T4448" t="str"><f t="shared" si="350"/><v/></c><c r="U4448" t="str"><f t="shared" si="351"/><v/></c><c r="V4448" t="str"><f t="shared" si="352"/><v/></c><c r="AB4448" s="3" t="str"><f t="shared" si="348"/><v/></c><c r="AC4448" t="str"><f t="shared" si="353"/><v/></c></row><row r="4449" spans="19:29" x14ac:dyDescent="0.25"><c r="S4449" s="9" t="str"><f t="shared" si="349"/><v/></c><c r="T4449" t="str"><f t="shared" si="350"/><v/></c><c r="U4449" t="str"><f t="shared" si="351"/><v/></c><c r="V4449" t="str"><f t="shared" si="352"/><v/></c><c r="AB4449" s="3" t="str"><f t="shared" si="348"/><v/></c><c r="AC4449" t="str"><f t="shared" si="353"/><v/></c></row><row r="4450" spans="19:29" x14ac:dyDescent="0.25"><c r="S4450" s="9" t="str"><f t="shared" si="349"/><v/></c><c r="T4450" t="str"><f t="shared" si="350"/><v/></c><c r="U4450" t="str"><f t="shared" si="351"/><v/></c><c r="V4450" t="str"><f t="shared" si="352"/><v/></c><c r="AB4450" s="3" t="str"><f t="shared" si="348"/><v/></c><c r="AC4450" t="str"><f t="shared" si="353"/><v/></c></row><row r="4451" spans="19:29" x14ac:dyDescent="0.25"><c r="S4451" s="9" t="str"><f t="shared" si="349"/><v/></c><c r="T4451" t="str"><f t="shared" si="350"/><v/></c><c r="U4451" t="str"><f t="shared" si="351"/><v/></c><c r="V4451" t="str"><f t="shared" si="352"/><v/></c><c r="AB4451" s="3" t="str"><f t="shared" si="348"/><v/></c><c r="AC4451" t="str"><f t="shared" si="353"/><v/></c></row><row r="4452" spans="19:29" x14ac:dyDescent="0.25"><c r="S4452" s="9" t="str"><f t="shared" si="349"/><v/></c><c r="T4452" t="str"><f t="shared" si="350"/><v/></c><c r="U4452" t="str"><f t="shared" si="351"/><v/></c><c r="V4452" t="str"><f t="shared" si="352"/><v/></c><c r="AB4452" s="3" t="str"><f t="shared" si="348"/><v/></c><c r="AC4452" t="str"><f t="shared" si="353"/><v/></c></row><row r="4453" spans="19:29" x14ac:dyDescent="0.25"><c r="S4453" s="9" t="str"><f t="shared" si="349"/><v/></c><c r="T4453" t="str"><f t="shared" si="350"/><v/></c><c r="U4453" t="str"><f t="shared" si="351"/><v/></c><c r="V4453" t="str"><f t="shared" si="352"/><v/></c><c r="AB4453" s="3" t="str"><f t="shared" si="348"/><v/></c><c r="AC4453" t="str"><f t="shared" si="353"/><v/></c></row><row r="4454" spans="19:29" x14ac:dyDescent="0.25"><c r="S4454" s="9" t="str"><f t="shared" si="349"/><v/></c><c r="T4454" t="str"><f t="shared" si="350"/><v/></c><c r="U4454" t="str"><f t="shared" si="351"/><v/></c><c r="V4454" t="str"><f t="shared" si="352"/><v/></c><c r="AB4454" s="3" t="str"><f t="shared" si="348"/><v/></c><c r="AC4454" t="str"><f t="shared" si="353"/><v/></c></row><row r="4455" spans="19:29" x14ac:dyDescent="0.25"><c r="S4455" s="9" t="str"><f t="shared" si="349"/><v/></c><c r="T4455" t="str"><f t="shared" si="350"/><v/></c><c r="U4455" t="str"><f t="shared" si="351"/><v/></c><c r="V4455" t="str"><f t="shared" si="352"/><v/></c><c r="AB4455" s="3" t="str"><f t="shared" si="348"/><v/></c><c r="AC4455" t="str"><f t="shared" si="353"/><v/></c></row><row r="4456" spans="19:29" x14ac:dyDescent="0.25"><c r="S4456" s="9" t="str"><f t="shared" si="349"/><v/></c><c r="T4456" t="str"><f t="shared" si="350"/><v/></c><c r="U4456" t="str"><f t="shared" si="351"/><v/></c><c r="V4456" t="str"><f t="shared" si="352"/><v/></c><c r="AB4456" s="3" t="str"><f t="shared" si="348"/><v/></c><c r="AC4456" t="str"><f t="shared" si="353"/><v/></c></row><row r="4457" spans="19:29" x14ac:dyDescent="0.25"><c r="S4457" s="9" t="str"><f t="shared" si="349"/><v/></c><c r="T4457" t="str"><f t="shared" si="350"/><v/></c><c r="U4457" t="str"><f t="shared" si="351"/><v/></c><c r="V4457" t="str"><f t="shared" si="352"/><v/></c><c r="AB4457" s="3" t="str"><f t="shared" si="348"/><v/></c><c r="AC4457" t="str"><f t="shared" si="353"/><v/></c></row><row r="4458" spans="19:29" x14ac:dyDescent="0.25"><c r="S4458" s="9" t="str"><f t="shared" si="349"/><v/></c><c r="T4458" t="str"><f t="shared" si="350"/><v/></c><c r="U4458" t="str"><f t="shared" si="351"/><v/></c><c r="V4458" t="str"><f t="shared" si="352"/><v/></c><c r="AB4458" s="3" t="str"><f t="shared" si="348"/><v/></c><c r="AC4458" t="str"><f t="shared" si="353"/><v/></c></row><row r="4459" spans="19:29" x14ac:dyDescent="0.25"><c r="S4459" s="9" t="str"><f t="shared" si="349"/><v/></c><c r="T4459" t="str"><f t="shared" si="350"/><v/></c><c r="U4459" t="str"><f t="shared" si="351"/><v/></c><c r="V4459" t="str"><f t="shared" si="352"/><v/></c><c r="AB4459" s="3" t="str"><f t="shared" si="348"/><v/></c><c r="AC4459" t="str"><f t="shared" si="353"/><v/></c></row><row r="4460" spans="19:29" x14ac:dyDescent="0.25"><c r="S4460" s="9" t="str"><f t="shared" si="349"/><v/></c><c r="T4460" t="str"><f t="shared" si="350"/><v/></c><c r="U4460" t="str"><f t="shared" si="351"/><v/></c><c r="V4460" t="str"><f t="shared" si="352"/><v/></c><c r="AB4460" s="3" t="str"><f t="shared" si="348"/><v/></c><c r="AC4460" t="str"><f t="shared" si="353"/><v/></c></row><row r="4461" spans="19:29" x14ac:dyDescent="0.25"><c r="S4461" s="9" t="str"><f t="shared" si="349"/><v/></c><c r="T4461" t="str"><f t="shared" si="350"/><v/></c><c r="U4461" t="str"><f t="shared" si="351"/><v/></c><c r="V4461" t="str"><f t="shared" si="352"/><v/></c><c r="AB4461" s="3" t="str"><f t="shared" si="348"/><v/></c><c r="AC4461" t="str"><f t="shared" si="353"/><v/></c></row><row r="4462" spans="19:29" x14ac:dyDescent="0.25"><c r="S4462" s="9" t="str"><f t="shared" si="349"/><v/></c><c r="T4462" t="str"><f t="shared" si="350"/><v/></c><c r="U4462" t="str"><f t="shared" si="351"/><v/></c><c r="V4462" t="str"><f t="shared" si="352"/><v/></c><c r="AB4462" s="3" t="str"><f t="shared" si="348"/><v/></c><c r="AC4462" t="str"><f t="shared" si="353"/><v/></c></row><row r="4463" spans="19:29" x14ac:dyDescent="0.25"><c r="S4463" s="9" t="str"><f t="shared" si="349"/><v/></c><c r="T4463" t="str"><f t="shared" si="350"/><v/></c><c r="U4463" t="str"><f t="shared" si="351"/><v/></c><c r="V4463" t="str"><f t="shared" si="352"/><v/></c><c r="AB4463" s="3" t="str"><f t="shared" si="348"/><v/></c><c r="AC4463" t="str"><f t="shared" si="353"/><v/></c></row><row r="4464" spans="19:29" x14ac:dyDescent="0.25"><c r="S4464" s="9" t="str"><f t="shared" si="349"/><v/></c><c r="T4464" t="str"><f t="shared" si="350"/><v/></c><c r="U4464" t="str"><f t="shared" si="351"/><v/></c><c r="V4464" t="str"><f t="shared" si="352"/><v/></c><c r="AB4464" s="3" t="str"><f t="shared" si="348"/><v/></c><c r="AC4464" t="str"><f t="shared" si="353"/><v/></c></row><row r="4465" spans="19:29" x14ac:dyDescent="0.25"><c r="S4465" s="9" t="str"><f t="shared" si="349"/><v/></c><c r="T4465" t="str"><f t="shared" si="350"/><v/></c><c r="U4465" t="str"><f t="shared" si="351"/><v/></c><c r="V4465" t="str"><f t="shared" si="352"/><v/></c><c r="AB4465" s="3" t="str"><f t="shared" si="348"/><v/></c><c r="AC4465" t="str"><f t="shared" si="353"/><v/></c></row><row r="4466" spans="19:29" x14ac:dyDescent="0.25"><c r="S4466" s="9" t="str"><f t="shared" si="349"/><v/></c><c r="T4466" t="str"><f t="shared" si="350"/><v/></c><c r="U4466" t="str"><f t="shared" si="351"/><v/></c><c r="V4466" t="str"><f t="shared" si="352"/><v/></c><c r="AB4466" s="3" t="str"><f t="shared" si="348"/><v/></c><c r="AC4466" t="str"><f t="shared" si="353"/><v/></c></row><row r="4467" spans="19:29" x14ac:dyDescent="0.25"><c r="S4467" s="9" t="str"><f t="shared" si="349"/><v/></c><c r="T4467" t="str"><f t="shared" si="350"/><v/></c><c r="U4467" t="str"><f t="shared" si="351"/><v/></c><c r="V4467" t="str"><f t="shared" si="352"/><v/></c><c r="AB4467" s="3" t="str"><f t="shared" si="348"/><v/></c><c r="AC4467" t="str"><f t="shared" si="353"/><v/></c></row><row r="4468" spans="19:29" x14ac:dyDescent="0.25"><c r="S4468" s="9" t="str"><f t="shared" si="349"/><v/></c><c r="T4468" t="str"><f t="shared" si="350"/><v/></c><c r="U4468" t="str"><f t="shared" si="351"/><v/></c><c r="V4468" t="str"><f t="shared" si="352"/><v/></c><c r="AB4468" s="3" t="str"><f t="shared" si="348"/><v/></c><c r="AC4468" t="str"><f t="shared" si="353"/><v/></c></row><row r="4469" spans="19:29" x14ac:dyDescent="0.25"><c r="S4469" s="9" t="str"><f t="shared" si="349"/><v/></c><c r="T4469" t="str"><f t="shared" si="350"/><v/></c><c r="U4469" t="str"><f t="shared" si="351"/><v/></c><c r="V4469" t="str"><f t="shared" si="352"/><v/></c><c r="AB4469" s="3" t="str"><f t="shared" si="348"/><v/></c><c r="AC4469" t="str"><f t="shared" si="353"/><v/></c></row><row r="4470" spans="19:29" x14ac:dyDescent="0.25"><c r="S4470" s="9" t="str"><f t="shared" si="349"/><v/></c><c r="T4470" t="str"><f t="shared" si="350"/><v/></c><c r="U4470" t="str"><f t="shared" si="351"/><v/></c><c r="V4470" t="str"><f t="shared" si="352"/><v/></c><c r="AB4470" s="3" t="str"><f t="shared" si="348"/><v/></c><c r="AC4470" t="str"><f t="shared" si="353"/><v/></c></row><row r="4471" spans="19:29" x14ac:dyDescent="0.25"><c r="S4471" s="9" t="str"><f t="shared" si="349"/><v/></c><c r="T4471" t="str"><f t="shared" si="350"/><v/></c><c r="U4471" t="str"><f t="shared" si="351"/><v/></c><c r="V4471" t="str"><f t="shared" si="352"/><v/></c><c r="AB4471" s="3" t="str"><f t="shared" si="348"/><v/></c><c r="AC4471" t="str"><f t="shared" si="353"/><v/></c></row><row r="4472" spans="19:29" x14ac:dyDescent="0.25"><c r="S4472" s="9" t="str"><f t="shared" si="349"/><v/></c><c r="T4472" t="str"><f t="shared" si="350"/><v/></c><c r="U4472" t="str"><f t="shared" si="351"/><v/></c><c r="V4472" t="str"><f t="shared" si="352"/><v/></c><c r="AB4472" s="3" t="str"><f t="shared" si="348"/><v/></c><c r="AC4472" t="str"><f t="shared" si="353"/><v/></c></row><row r="4473" spans="19:29" x14ac:dyDescent="0.25"><c r="S4473" s="9" t="str"><f t="shared" si="349"/><v/></c><c r="T4473" t="str"><f t="shared" si="350"/><v/></c><c r="U4473" t="str"><f t="shared" si="351"/><v/></c><c r="V4473" t="str"><f t="shared" si="352"/><v/></c><c r="AB4473" s="3" t="str"><f t="shared" si="348"/><v/></c><c r="AC4473" t="str"><f t="shared" si="353"/><v/></c></row><row r="4474" spans="19:29" x14ac:dyDescent="0.25"><c r="S4474" s="9" t="str"><f t="shared" si="349"/><v/></c><c r="T4474" t="str"><f t="shared" si="350"/><v/></c><c r="U4474" t="str"><f t="shared" si="351"/><v/></c><c r="V4474" t="str"><f t="shared" si="352"/><v/></c><c r="AB4474" s="3" t="str"><f t="shared" si="348"/><v/></c><c r="AC4474" t="str"><f t="shared" si="353"/><v/></c></row><row r="4475" spans="19:29" x14ac:dyDescent="0.25"><c r="S4475" s="9" t="str"><f t="shared" si="349"/><v/></c><c r="T4475" t="str"><f t="shared" si="350"/><v/></c><c r="U4475" t="str"><f t="shared" si="351"/><v/></c><c r="V4475" t="str"><f t="shared" si="352"/><v/></c><c r="AB4475" s="3" t="str"><f t="shared" si="348"/><v/></c><c r="AC4475" t="str"><f t="shared" si="353"/><v/></c></row><row r="4476" spans="19:29" x14ac:dyDescent="0.25"><c r="S4476" s="9" t="str"><f t="shared" si="349"/><v/></c><c r="T4476" t="str"><f t="shared" si="350"/><v/></c><c r="U4476" t="str"><f t="shared" si="351"/><v/></c><c r="V4476" t="str"><f t="shared" si="352"/><v/></c><c r="AB4476" s="3" t="str"><f t="shared" si="348"/><v/></c><c r="AC4476" t="str"><f t="shared" si="353"/><v/></c></row><row r="4477" spans="19:29" x14ac:dyDescent="0.25"><c r="S4477" s="9" t="str"><f t="shared" si="349"/><v/></c><c r="T4477" t="str"><f t="shared" si="350"/><v/></c><c r="U4477" t="str"><f t="shared" si="351"/><v/></c><c r="V4477" t="str"><f t="shared" si="352"/><v/></c><c r="AB4477" s="3" t="str"><f t="shared" si="348"/><v/></c><c r="AC4477" t="str"><f t="shared" si="353"/><v/></c></row><row r="4478" spans="19:29" x14ac:dyDescent="0.25"><c r="S4478" s="9" t="str"><f t="shared" si="349"/><v/></c><c r="T4478" t="str"><f t="shared" si="350"/><v/></c><c r="U4478" t="str"><f t="shared" si="351"/><v/></c><c r="V4478" t="str"><f t="shared" si="352"/><v/></c><c r="AB4478" s="3" t="str"><f t="shared" si="348"/><v/></c><c r="AC4478" t="str"><f t="shared" si="353"/><v/></c></row><row r="4479" spans="19:29" x14ac:dyDescent="0.25"><c r="S4479" s="9" t="str"><f t="shared" si="349"/><v/></c><c r="T4479" t="str"><f t="shared" si="350"/><v/></c><c r="U4479" t="str"><f t="shared" si="351"/><v/></c><c r="V4479" t="str"><f t="shared" si="352"/><v/></c><c r="AB4479" s="3" t="str"><f t="shared" si="348"/><v/></c><c r="AC4479" t="str"><f t="shared" si="353"/><v/></c></row><row r="4480" spans="19:29" x14ac:dyDescent="0.25"><c r="S4480" s="9" t="str"><f t="shared" si="349"/><v/></c><c r="T4480" t="str"><f t="shared" si="350"/><v/></c><c r="U4480" t="str"><f t="shared" si="351"/><v/></c><c r="V4480" t="str"><f t="shared" si="352"/><v/></c><c r="AB4480" s="3" t="str"><f t="shared" si="348"/><v/></c><c r="AC4480" t="str"><f t="shared" si="353"/><v/></c></row><row r="4481" spans="19:29" x14ac:dyDescent="0.25"><c r="S4481" s="9" t="str"><f t="shared" si="349"/><v/></c><c r="T4481" t="str"><f t="shared" si="350"/><v/></c><c r="U4481" t="str"><f t="shared" si="351"/><v/></c><c r="V4481" t="str"><f t="shared" si="352"/><v/></c><c r="AB4481" s="3" t="str"><f t="shared" si="348"/><v/></c><c r="AC4481" t="str"><f t="shared" si="353"/><v/></c></row><row r="4482" spans="19:29" x14ac:dyDescent="0.25"><c r="S4482" s="9" t="str"><f t="shared" si="349"/><v/></c><c r="T4482" t="str"><f t="shared" si="350"/><v/></c><c r="U4482" t="str"><f t="shared" si="351"/><v/></c><c r="V4482" t="str"><f t="shared" si="352"/><v/></c><c r="AB4482" s="3" t="str"><f t="shared" ref="AB4482:AB4545" si="354">IF(ISBLANK(B4482),"", "10")</f><v/></c><c r="AC4482" t="str"><f t="shared" si="353"/><v/></c></row><row r="4483" spans="19:29" x14ac:dyDescent="0.25"><c r="S4483" s="9" t="str"><f t="shared" ref="S4483:S4546" si="355">IF(ISBLANK(B4483),"",B4483 )</f><v/></c><c r="T4483" t="str"><f t="shared" ref="T4483:T4546" si="356">IF(ISBLANK(B4483),"",B4483 )</f><v/></c><c r="U4483" t="str"><f t="shared" ref="U4483:U4546" si="357">IF(ISBLANK(B4483),"",B4483 )</f><v/></c><c r="V4483" t="str"><f t="shared" ref="V4483:V4546" si="358">IF(ISBLANK(B4483),"", "SHOP_SKU")</f><v/></c><c r="AB4483" s="3" t="str"><f t="shared" si="354"/><v/></c><c r="AC4483" t="str"><f t="shared" ref="AC4483:AC4546" si="359">IF(ISBLANK(B4483),"", "New")</f><v/></c></row><row r="4484" spans="19:29" x14ac:dyDescent="0.25"><c r="S4484" s="9" t="str"><f t="shared" si="355"/><v/></c><c r="T4484" t="str"><f t="shared" si="356"/><v/></c><c r="U4484" t="str"><f t="shared" si="357"/><v/></c><c r="V4484" t="str"><f t="shared" si="358"/><v/></c><c r="AB4484" s="3" t="str"><f t="shared" si="354"/><v/></c><c r="AC4484" t="str"><f t="shared" si="359"/><v/></c></row><row r="4485" spans="19:29" x14ac:dyDescent="0.25"><c r="S4485" s="9" t="str"><f t="shared" si="355"/><v/></c><c r="T4485" t="str"><f t="shared" si="356"/><v/></c><c r="U4485" t="str"><f t="shared" si="357"/><v/></c><c r="V4485" t="str"><f t="shared" si="358"/><v/></c><c r="AB4485" s="3" t="str"><f t="shared" si="354"/><v/></c><c r="AC4485" t="str"><f t="shared" si="359"/><v/></c></row><row r="4486" spans="19:29" x14ac:dyDescent="0.25"><c r="S4486" s="9" t="str"><f t="shared" si="355"/><v/></c><c r="T4486" t="str"><f t="shared" si="356"/><v/></c><c r="U4486" t="str"><f t="shared" si="357"/><v/></c><c r="V4486" t="str"><f t="shared" si="358"/><v/></c><c r="AB4486" s="3" t="str"><f t="shared" si="354"/><v/></c><c r="AC4486" t="str"><f t="shared" si="359"/><v/></c></row><row r="4487" spans="19:29" x14ac:dyDescent="0.25"><c r="S4487" s="9" t="str"><f t="shared" si="355"/><v/></c><c r="T4487" t="str"><f t="shared" si="356"/><v/></c><c r="U4487" t="str"><f t="shared" si="357"/><v/></c><c r="V4487" t="str"><f t="shared" si="358"/><v/></c><c r="AB4487" s="3" t="str"><f t="shared" si="354"/><v/></c><c r="AC4487" t="str"><f t="shared" si="359"/><v/></c></row><row r="4488" spans="19:29" x14ac:dyDescent="0.25"><c r="S4488" s="9" t="str"><f t="shared" si="355"/><v/></c><c r="T4488" t="str"><f t="shared" si="356"/><v/></c><c r="U4488" t="str"><f t="shared" si="357"/><v/></c><c r="V4488" t="str"><f t="shared" si="358"/><v/></c><c r="AB4488" s="3" t="str"><f t="shared" si="354"/><v/></c><c r="AC4488" t="str"><f t="shared" si="359"/><v/></c></row><row r="4489" spans="19:29" x14ac:dyDescent="0.25"><c r="S4489" s="9" t="str"><f t="shared" si="355"/><v/></c><c r="T4489" t="str"><f t="shared" si="356"/><v/></c><c r="U4489" t="str"><f t="shared" si="357"/><v/></c><c r="V4489" t="str"><f t="shared" si="358"/><v/></c><c r="AB4489" s="3" t="str"><f t="shared" si="354"/><v/></c><c r="AC4489" t="str"><f t="shared" si="359"/><v/></c></row><row r="4490" spans="19:29" x14ac:dyDescent="0.25"><c r="S4490" s="9" t="str"><f t="shared" si="355"/><v/></c><c r="T4490" t="str"><f t="shared" si="356"/><v/></c><c r="U4490" t="str"><f t="shared" si="357"/><v/></c><c r="V4490" t="str"><f t="shared" si="358"/><v/></c><c r="AB4490" s="3" t="str"><f t="shared" si="354"/><v/></c><c r="AC4490" t="str"><f t="shared" si="359"/><v/></c></row><row r="4491" spans="19:29" x14ac:dyDescent="0.25"><c r="S4491" s="9" t="str"><f t="shared" si="355"/><v/></c><c r="T4491" t="str"><f t="shared" si="356"/><v/></c><c r="U4491" t="str"><f t="shared" si="357"/><v/></c><c r="V4491" t="str"><f t="shared" si="358"/><v/></c><c r="AB4491" s="3" t="str"><f t="shared" si="354"/><v/></c><c r="AC4491" t="str"><f t="shared" si="359"/><v/></c></row><row r="4492" spans="19:29" x14ac:dyDescent="0.25"><c r="S4492" s="9" t="str"><f t="shared" si="355"/><v/></c><c r="T4492" t="str"><f t="shared" si="356"/><v/></c><c r="U4492" t="str"><f t="shared" si="357"/><v/></c><c r="V4492" t="str"><f t="shared" si="358"/><v/></c><c r="AB4492" s="3" t="str"><f t="shared" si="354"/><v/></c><c r="AC4492" t="str"><f t="shared" si="359"/><v/></c></row><row r="4493" spans="19:29" x14ac:dyDescent="0.25"><c r="S4493" s="9" t="str"><f t="shared" si="355"/><v/></c><c r="T4493" t="str"><f t="shared" si="356"/><v/></c><c r="U4493" t="str"><f t="shared" si="357"/><v/></c><c r="V4493" t="str"><f t="shared" si="358"/><v/></c><c r="AB4493" s="3" t="str"><f t="shared" si="354"/><v/></c><c r="AC4493" t="str"><f t="shared" si="359"/><v/></c></row><row r="4494" spans="19:29" x14ac:dyDescent="0.25"><c r="S4494" s="9" t="str"><f t="shared" si="355"/><v/></c><c r="T4494" t="str"><f t="shared" si="356"/><v/></c><c r="U4494" t="str"><f t="shared" si="357"/><v/></c><c r="V4494" t="str"><f t="shared" si="358"/><v/></c><c r="AB4494" s="3" t="str"><f t="shared" si="354"/><v/></c><c r="AC4494" t="str"><f t="shared" si="359"/><v/></c></row><row r="4495" spans="19:29" x14ac:dyDescent="0.25"><c r="S4495" s="9" t="str"><f t="shared" si="355"/><v/></c><c r="T4495" t="str"><f t="shared" si="356"/><v/></c><c r="U4495" t="str"><f t="shared" si="357"/><v/></c><c r="V4495" t="str"><f t="shared" si="358"/><v/></c><c r="AB4495" s="3" t="str"><f t="shared" si="354"/><v/></c><c r="AC4495" t="str"><f t="shared" si="359"/><v/></c></row><row r="4496" spans="19:29" x14ac:dyDescent="0.25"><c r="S4496" s="9" t="str"><f t="shared" si="355"/><v/></c><c r="T4496" t="str"><f t="shared" si="356"/><v/></c><c r="U4496" t="str"><f t="shared" si="357"/><v/></c><c r="V4496" t="str"><f t="shared" si="358"/><v/></c><c r="AB4496" s="3" t="str"><f t="shared" si="354"/><v/></c><c r="AC4496" t="str"><f t="shared" si="359"/><v/></c></row><row r="4497" spans="19:29" x14ac:dyDescent="0.25"><c r="S4497" s="9" t="str"><f t="shared" si="355"/><v/></c><c r="T4497" t="str"><f t="shared" si="356"/><v/></c><c r="U4497" t="str"><f t="shared" si="357"/><v/></c><c r="V4497" t="str"><f t="shared" si="358"/><v/></c><c r="AB4497" s="3" t="str"><f t="shared" si="354"/><v/></c><c r="AC4497" t="str"><f t="shared" si="359"/><v/></c></row><row r="4498" spans="19:29" x14ac:dyDescent="0.25"><c r="S4498" s="9" t="str"><f t="shared" si="355"/><v/></c><c r="T4498" t="str"><f t="shared" si="356"/><v/></c><c r="U4498" t="str"><f t="shared" si="357"/><v/></c><c r="V4498" t="str"><f t="shared" si="358"/><v/></c><c r="AB4498" s="3" t="str"><f t="shared" si="354"/><v/></c><c r="AC4498" t="str"><f t="shared" si="359"/><v/></c></row><row r="4499" spans="19:29" x14ac:dyDescent="0.25"><c r="S4499" s="9" t="str"><f t="shared" si="355"/><v/></c><c r="T4499" t="str"><f t="shared" si="356"/><v/></c><c r="U4499" t="str"><f t="shared" si="357"/><v/></c><c r="V4499" t="str"><f t="shared" si="358"/><v/></c><c r="AB4499" s="3" t="str"><f t="shared" si="354"/><v/></c><c r="AC4499" t="str"><f t="shared" si="359"/><v/></c></row><row r="4500" spans="19:29" x14ac:dyDescent="0.25"><c r="S4500" s="9" t="str"><f t="shared" si="355"/><v/></c><c r="T4500" t="str"><f t="shared" si="356"/><v/></c><c r="U4500" t="str"><f t="shared" si="357"/><v/></c><c r="V4500" t="str"><f t="shared" si="358"/><v/></c><c r="AB4500" s="3" t="str"><f t="shared" si="354"/><v/></c><c r="AC4500" t="str"><f t="shared" si="359"/><v/></c></row><row r="4501" spans="19:29" x14ac:dyDescent="0.25"><c r="S4501" s="9" t="str"><f t="shared" si="355"/><v/></c><c r="T4501" t="str"><f t="shared" si="356"/><v/></c><c r="U4501" t="str"><f t="shared" si="357"/><v/></c><c r="V4501" t="str"><f t="shared" si="358"/><v/></c><c r="AB4501" s="3" t="str"><f t="shared" si="354"/><v/></c><c r="AC4501" t="str"><f t="shared" si="359"/><v/></c></row><row r="4502" spans="19:29" x14ac:dyDescent="0.25"><c r="S4502" s="9" t="str"><f t="shared" si="355"/><v/></c><c r="T4502" t="str"><f t="shared" si="356"/><v/></c><c r="U4502" t="str"><f t="shared" si="357"/><v/></c><c r="V4502" t="str"><f t="shared" si="358"/><v/></c><c r="AB4502" s="3" t="str"><f t="shared" si="354"/><v/></c><c r="AC4502" t="str"><f t="shared" si="359"/><v/></c></row><row r="4503" spans="19:29" x14ac:dyDescent="0.25"><c r="S4503" s="9" t="str"><f t="shared" si="355"/><v/></c><c r="T4503" t="str"><f t="shared" si="356"/><v/></c><c r="U4503" t="str"><f t="shared" si="357"/><v/></c><c r="V4503" t="str"><f t="shared" si="358"/><v/></c><c r="AB4503" s="3" t="str"><f t="shared" si="354"/><v/></c><c r="AC4503" t="str"><f t="shared" si="359"/><v/></c></row><row r="4504" spans="19:29" x14ac:dyDescent="0.25"><c r="S4504" s="9" t="str"><f t="shared" si="355"/><v/></c><c r="T4504" t="str"><f t="shared" si="356"/><v/></c><c r="U4504" t="str"><f t="shared" si="357"/><v/></c><c r="V4504" t="str"><f t="shared" si="358"/><v/></c><c r="AB4504" s="3" t="str"><f t="shared" si="354"/><v/></c><c r="AC4504" t="str"><f t="shared" si="359"/><v/></c></row><row r="4505" spans="19:29" x14ac:dyDescent="0.25"><c r="S4505" s="9" t="str"><f t="shared" si="355"/><v/></c><c r="T4505" t="str"><f t="shared" si="356"/><v/></c><c r="U4505" t="str"><f t="shared" si="357"/><v/></c><c r="V4505" t="str"><f t="shared" si="358"/><v/></c><c r="AB4505" s="3" t="str"><f t="shared" si="354"/><v/></c><c r="AC4505" t="str"><f t="shared" si="359"/><v/></c></row><row r="4506" spans="19:29" x14ac:dyDescent="0.25"><c r="S4506" s="9" t="str"><f t="shared" si="355"/><v/></c><c r="T4506" t="str"><f t="shared" si="356"/><v/></c><c r="U4506" t="str"><f t="shared" si="357"/><v/></c><c r="V4506" t="str"><f t="shared" si="358"/><v/></c><c r="AB4506" s="3" t="str"><f t="shared" si="354"/><v/></c><c r="AC4506" t="str"><f t="shared" si="359"/><v/></c></row><row r="4507" spans="19:29" x14ac:dyDescent="0.25"><c r="S4507" s="9" t="str"><f t="shared" si="355"/><v/></c><c r="T4507" t="str"><f t="shared" si="356"/><v/></c><c r="U4507" t="str"><f t="shared" si="357"/><v/></c><c r="V4507" t="str"><f t="shared" si="358"/><v/></c><c r="AB4507" s="3" t="str"><f t="shared" si="354"/><v/></c><c r="AC4507" t="str"><f t="shared" si="359"/><v/></c></row><row r="4508" spans="19:29" x14ac:dyDescent="0.25"><c r="S4508" s="9" t="str"><f t="shared" si="355"/><v/></c><c r="T4508" t="str"><f t="shared" si="356"/><v/></c><c r="U4508" t="str"><f t="shared" si="357"/><v/></c><c r="V4508" t="str"><f t="shared" si="358"/><v/></c><c r="AB4508" s="3" t="str"><f t="shared" si="354"/><v/></c><c r="AC4508" t="str"><f t="shared" si="359"/><v/></c></row><row r="4509" spans="19:29" x14ac:dyDescent="0.25"><c r="S4509" s="9" t="str"><f t="shared" si="355"/><v/></c><c r="T4509" t="str"><f t="shared" si="356"/><v/></c><c r="U4509" t="str"><f t="shared" si="357"/><v/></c><c r="V4509" t="str"><f t="shared" si="358"/><v/></c><c r="AB4509" s="3" t="str"><f t="shared" si="354"/><v/></c><c r="AC4509" t="str"><f t="shared" si="359"/><v/></c></row><row r="4510" spans="19:29" x14ac:dyDescent="0.25"><c r="S4510" s="9" t="str"><f t="shared" si="355"/><v/></c><c r="T4510" t="str"><f t="shared" si="356"/><v/></c><c r="U4510" t="str"><f t="shared" si="357"/><v/></c><c r="V4510" t="str"><f t="shared" si="358"/><v/></c><c r="AB4510" s="3" t="str"><f t="shared" si="354"/><v/></c><c r="AC4510" t="str"><f t="shared" si="359"/><v/></c></row><row r="4511" spans="19:29" x14ac:dyDescent="0.25"><c r="S4511" s="9" t="str"><f t="shared" si="355"/><v/></c><c r="T4511" t="str"><f t="shared" si="356"/><v/></c><c r="U4511" t="str"><f t="shared" si="357"/><v/></c><c r="V4511" t="str"><f t="shared" si="358"/><v/></c><c r="AB4511" s="3" t="str"><f t="shared" si="354"/><v/></c><c r="AC4511" t="str"><f t="shared" si="359"/><v/></c></row><row r="4512" spans="19:29" x14ac:dyDescent="0.25"><c r="S4512" s="9" t="str"><f t="shared" si="355"/><v/></c><c r="T4512" t="str"><f t="shared" si="356"/><v/></c><c r="U4512" t="str"><f t="shared" si="357"/><v/></c><c r="V4512" t="str"><f t="shared" si="358"/><v/></c><c r="AB4512" s="3" t="str"><f t="shared" si="354"/><v/></c><c r="AC4512" t="str"><f t="shared" si="359"/><v/></c></row><row r="4513" spans="19:29" x14ac:dyDescent="0.25"><c r="S4513" s="9" t="str"><f t="shared" si="355"/><v/></c><c r="T4513" t="str"><f t="shared" si="356"/><v/></c><c r="U4513" t="str"><f t="shared" si="357"/><v/></c><c r="V4513" t="str"><f t="shared" si="358"/><v/></c><c r="AB4513" s="3" t="str"><f t="shared" si="354"/><v/></c><c r="AC4513" t="str"><f t="shared" si="359"/><v/></c></row><row r="4514" spans="19:29" x14ac:dyDescent="0.25"><c r="S4514" s="9" t="str"><f t="shared" si="355"/><v/></c><c r="T4514" t="str"><f t="shared" si="356"/><v/></c><c r="U4514" t="str"><f t="shared" si="357"/><v/></c><c r="V4514" t="str"><f t="shared" si="358"/><v/></c><c r="AB4514" s="3" t="str"><f t="shared" si="354"/><v/></c><c r="AC4514" t="str"><f t="shared" si="359"/><v/></c></row><row r="4515" spans="19:29" x14ac:dyDescent="0.25"><c r="S4515" s="9" t="str"><f t="shared" si="355"/><v/></c><c r="T4515" t="str"><f t="shared" si="356"/><v/></c><c r="U4515" t="str"><f t="shared" si="357"/><v/></c><c r="V4515" t="str"><f t="shared" si="358"/><v/></c><c r="AB4515" s="3" t="str"><f t="shared" si="354"/><v/></c><c r="AC4515" t="str"><f t="shared" si="359"/><v/></c></row><row r="4516" spans="19:29" x14ac:dyDescent="0.25"><c r="S4516" s="9" t="str"><f t="shared" si="355"/><v/></c><c r="T4516" t="str"><f t="shared" si="356"/><v/></c><c r="U4516" t="str"><f t="shared" si="357"/><v/></c><c r="V4516" t="str"><f t="shared" si="358"/><v/></c><c r="AB4516" s="3" t="str"><f t="shared" si="354"/><v/></c><c r="AC4516" t="str"><f t="shared" si="359"/><v/></c></row><row r="4517" spans="19:29" x14ac:dyDescent="0.25"><c r="S4517" s="9" t="str"><f t="shared" si="355"/><v/></c><c r="T4517" t="str"><f t="shared" si="356"/><v/></c><c r="U4517" t="str"><f t="shared" si="357"/><v/></c><c r="V4517" t="str"><f t="shared" si="358"/><v/></c><c r="AB4517" s="3" t="str"><f t="shared" si="354"/><v/></c><c r="AC4517" t="str"><f t="shared" si="359"/><v/></c></row><row r="4518" spans="19:29" x14ac:dyDescent="0.25"><c r="S4518" s="9" t="str"><f t="shared" si="355"/><v/></c><c r="T4518" t="str"><f t="shared" si="356"/><v/></c><c r="U4518" t="str"><f t="shared" si="357"/><v/></c><c r="V4518" t="str"><f t="shared" si="358"/><v/></c><c r="AB4518" s="3" t="str"><f t="shared" si="354"/><v/></c><c r="AC4518" t="str"><f t="shared" si="359"/><v/></c></row><row r="4519" spans="19:29" x14ac:dyDescent="0.25"><c r="S4519" s="9" t="str"><f t="shared" si="355"/><v/></c><c r="T4519" t="str"><f t="shared" si="356"/><v/></c><c r="U4519" t="str"><f t="shared" si="357"/><v/></c><c r="V4519" t="str"><f t="shared" si="358"/><v/></c><c r="AB4519" s="3" t="str"><f t="shared" si="354"/><v/></c><c r="AC4519" t="str"><f t="shared" si="359"/><v/></c></row><row r="4520" spans="19:29" x14ac:dyDescent="0.25"><c r="S4520" s="9" t="str"><f t="shared" si="355"/><v/></c><c r="T4520" t="str"><f t="shared" si="356"/><v/></c><c r="U4520" t="str"><f t="shared" si="357"/><v/></c><c r="V4520" t="str"><f t="shared" si="358"/><v/></c><c r="AB4520" s="3" t="str"><f t="shared" si="354"/><v/></c><c r="AC4520" t="str"><f t="shared" si="359"/><v/></c></row><row r="4521" spans="19:29" x14ac:dyDescent="0.25"><c r="S4521" s="9" t="str"><f t="shared" si="355"/><v/></c><c r="T4521" t="str"><f t="shared" si="356"/><v/></c><c r="U4521" t="str"><f t="shared" si="357"/><v/></c><c r="V4521" t="str"><f t="shared" si="358"/><v/></c><c r="AB4521" s="3" t="str"><f t="shared" si="354"/><v/></c><c r="AC4521" t="str"><f t="shared" si="359"/><v/></c></row><row r="4522" spans="19:29" x14ac:dyDescent="0.25"><c r="S4522" s="9" t="str"><f t="shared" si="355"/><v/></c><c r="T4522" t="str"><f t="shared" si="356"/><v/></c><c r="U4522" t="str"><f t="shared" si="357"/><v/></c><c r="V4522" t="str"><f t="shared" si="358"/><v/></c><c r="AB4522" s="3" t="str"><f t="shared" si="354"/><v/></c><c r="AC4522" t="str"><f t="shared" si="359"/><v/></c></row><row r="4523" spans="19:29" x14ac:dyDescent="0.25"><c r="S4523" s="9" t="str"><f t="shared" si="355"/><v/></c><c r="T4523" t="str"><f t="shared" si="356"/><v/></c><c r="U4523" t="str"><f t="shared" si="357"/><v/></c><c r="V4523" t="str"><f t="shared" si="358"/><v/></c><c r="AB4523" s="3" t="str"><f t="shared" si="354"/><v/></c><c r="AC4523" t="str"><f t="shared" si="359"/><v/></c></row><row r="4524" spans="19:29" x14ac:dyDescent="0.25"><c r="S4524" s="9" t="str"><f t="shared" si="355"/><v/></c><c r="T4524" t="str"><f t="shared" si="356"/><v/></c><c r="U4524" t="str"><f t="shared" si="357"/><v/></c><c r="V4524" t="str"><f t="shared" si="358"/><v/></c><c r="AB4524" s="3" t="str"><f t="shared" si="354"/><v/></c><c r="AC4524" t="str"><f t="shared" si="359"/><v/></c></row><row r="4525" spans="19:29" x14ac:dyDescent="0.25"><c r="S4525" s="9" t="str"><f t="shared" si="355"/><v/></c><c r="T4525" t="str"><f t="shared" si="356"/><v/></c><c r="U4525" t="str"><f t="shared" si="357"/><v/></c><c r="V4525" t="str"><f t="shared" si="358"/><v/></c><c r="AB4525" s="3" t="str"><f t="shared" si="354"/><v/></c><c r="AC4525" t="str"><f t="shared" si="359"/><v/></c></row><row r="4526" spans="19:29" x14ac:dyDescent="0.25"><c r="S4526" s="9" t="str"><f t="shared" si="355"/><v/></c><c r="T4526" t="str"><f t="shared" si="356"/><v/></c><c r="U4526" t="str"><f t="shared" si="357"/><v/></c><c r="V4526" t="str"><f t="shared" si="358"/><v/></c><c r="AB4526" s="3" t="str"><f t="shared" si="354"/><v/></c><c r="AC4526" t="str"><f t="shared" si="359"/><v/></c></row><row r="4527" spans="19:29" x14ac:dyDescent="0.25"><c r="S4527" s="9" t="str"><f t="shared" si="355"/><v/></c><c r="T4527" t="str"><f t="shared" si="356"/><v/></c><c r="U4527" t="str"><f t="shared" si="357"/><v/></c><c r="V4527" t="str"><f t="shared" si="358"/><v/></c><c r="AB4527" s="3" t="str"><f t="shared" si="354"/><v/></c><c r="AC4527" t="str"><f t="shared" si="359"/><v/></c></row><row r="4528" spans="19:29" x14ac:dyDescent="0.25"><c r="S4528" s="9" t="str"><f t="shared" si="355"/><v/></c><c r="T4528" t="str"><f t="shared" si="356"/><v/></c><c r="U4528" t="str"><f t="shared" si="357"/><v/></c><c r="V4528" t="str"><f t="shared" si="358"/><v/></c><c r="AB4528" s="3" t="str"><f t="shared" si="354"/><v/></c><c r="AC4528" t="str"><f t="shared" si="359"/><v/></c></row><row r="4529" spans="19:29" x14ac:dyDescent="0.25"><c r="S4529" s="9" t="str"><f t="shared" si="355"/><v/></c><c r="T4529" t="str"><f t="shared" si="356"/><v/></c><c r="U4529" t="str"><f t="shared" si="357"/><v/></c><c r="V4529" t="str"><f t="shared" si="358"/><v/></c><c r="AB4529" s="3" t="str"><f t="shared" si="354"/><v/></c><c r="AC4529" t="str"><f t="shared" si="359"/><v/></c></row><row r="4530" spans="19:29" x14ac:dyDescent="0.25"><c r="S4530" s="9" t="str"><f t="shared" si="355"/><v/></c><c r="T4530" t="str"><f t="shared" si="356"/><v/></c><c r="U4530" t="str"><f t="shared" si="357"/><v/></c><c r="V4530" t="str"><f t="shared" si="358"/><v/></c><c r="AB4530" s="3" t="str"><f t="shared" si="354"/><v/></c><c r="AC4530" t="str"><f t="shared" si="359"/><v/></c></row><row r="4531" spans="19:29" x14ac:dyDescent="0.25"><c r="S4531" s="9" t="str"><f t="shared" si="355"/><v/></c><c r="T4531" t="str"><f t="shared" si="356"/><v/></c><c r="U4531" t="str"><f t="shared" si="357"/><v/></c><c r="V4531" t="str"><f t="shared" si="358"/><v/></c><c r="AB4531" s="3" t="str"><f t="shared" si="354"/><v/></c><c r="AC4531" t="str"><f t="shared" si="359"/><v/></c></row><row r="4532" spans="19:29" x14ac:dyDescent="0.25"><c r="S4532" s="9" t="str"><f t="shared" si="355"/><v/></c><c r="T4532" t="str"><f t="shared" si="356"/><v/></c><c r="U4532" t="str"><f t="shared" si="357"/><v/></c><c r="V4532" t="str"><f t="shared" si="358"/><v/></c><c r="AB4532" s="3" t="str"><f t="shared" si="354"/><v/></c><c r="AC4532" t="str"><f t="shared" si="359"/><v/></c></row><row r="4533" spans="19:29" x14ac:dyDescent="0.25"><c r="S4533" s="9" t="str"><f t="shared" si="355"/><v/></c><c r="T4533" t="str"><f t="shared" si="356"/><v/></c><c r="U4533" t="str"><f t="shared" si="357"/><v/></c><c r="V4533" t="str"><f t="shared" si="358"/><v/></c><c r="AB4533" s="3" t="str"><f t="shared" si="354"/><v/></c><c r="AC4533" t="str"><f t="shared" si="359"/><v/></c></row><row r="4534" spans="19:29" x14ac:dyDescent="0.25"><c r="S4534" s="9" t="str"><f t="shared" si="355"/><v/></c><c r="T4534" t="str"><f t="shared" si="356"/><v/></c><c r="U4534" t="str"><f t="shared" si="357"/><v/></c><c r="V4534" t="str"><f t="shared" si="358"/><v/></c><c r="AB4534" s="3" t="str"><f t="shared" si="354"/><v/></c><c r="AC4534" t="str"><f t="shared" si="359"/><v/></c></row><row r="4535" spans="19:29" x14ac:dyDescent="0.25"><c r="S4535" s="9" t="str"><f t="shared" si="355"/><v/></c><c r="T4535" t="str"><f t="shared" si="356"/><v/></c><c r="U4535" t="str"><f t="shared" si="357"/><v/></c><c r="V4535" t="str"><f t="shared" si="358"/><v/></c><c r="AB4535" s="3" t="str"><f t="shared" si="354"/><v/></c><c r="AC4535" t="str"><f t="shared" si="359"/><v/></c></row><row r="4536" spans="19:29" x14ac:dyDescent="0.25"><c r="S4536" s="9" t="str"><f t="shared" si="355"/><v/></c><c r="T4536" t="str"><f t="shared" si="356"/><v/></c><c r="U4536" t="str"><f t="shared" si="357"/><v/></c><c r="V4536" t="str"><f t="shared" si="358"/><v/></c><c r="AB4536" s="3" t="str"><f t="shared" si="354"/><v/></c><c r="AC4536" t="str"><f t="shared" si="359"/><v/></c></row><row r="4537" spans="19:29" x14ac:dyDescent="0.25"><c r="S4537" s="9" t="str"><f t="shared" si="355"/><v/></c><c r="T4537" t="str"><f t="shared" si="356"/><v/></c><c r="U4537" t="str"><f t="shared" si="357"/><v/></c><c r="V4537" t="str"><f t="shared" si="358"/><v/></c><c r="AB4537" s="3" t="str"><f t="shared" si="354"/><v/></c><c r="AC4537" t="str"><f t="shared" si="359"/><v/></c></row><row r="4538" spans="19:29" x14ac:dyDescent="0.25"><c r="S4538" s="9" t="str"><f t="shared" si="355"/><v/></c><c r="T4538" t="str"><f t="shared" si="356"/><v/></c><c r="U4538" t="str"><f t="shared" si="357"/><v/></c><c r="V4538" t="str"><f t="shared" si="358"/><v/></c><c r="AB4538" s="3" t="str"><f t="shared" si="354"/><v/></c><c r="AC4538" t="str"><f t="shared" si="359"/><v/></c></row><row r="4539" spans="19:29" x14ac:dyDescent="0.25"><c r="S4539" s="9" t="str"><f t="shared" si="355"/><v/></c><c r="T4539" t="str"><f t="shared" si="356"/><v/></c><c r="U4539" t="str"><f t="shared" si="357"/><v/></c><c r="V4539" t="str"><f t="shared" si="358"/><v/></c><c r="AB4539" s="3" t="str"><f t="shared" si="354"/><v/></c><c r="AC4539" t="str"><f t="shared" si="359"/><v/></c></row><row r="4540" spans="19:29" x14ac:dyDescent="0.25"><c r="S4540" s="9" t="str"><f t="shared" si="355"/><v/></c><c r="T4540" t="str"><f t="shared" si="356"/><v/></c><c r="U4540" t="str"><f t="shared" si="357"/><v/></c><c r="V4540" t="str"><f t="shared" si="358"/><v/></c><c r="AB4540" s="3" t="str"><f t="shared" si="354"/><v/></c><c r="AC4540" t="str"><f t="shared" si="359"/><v/></c></row><row r="4541" spans="19:29" x14ac:dyDescent="0.25"><c r="S4541" s="9" t="str"><f t="shared" si="355"/><v/></c><c r="T4541" t="str"><f t="shared" si="356"/><v/></c><c r="U4541" t="str"><f t="shared" si="357"/><v/></c><c r="V4541" t="str"><f t="shared" si="358"/><v/></c><c r="AB4541" s="3" t="str"><f t="shared" si="354"/><v/></c><c r="AC4541" t="str"><f t="shared" si="359"/><v/></c></row><row r="4542" spans="19:29" x14ac:dyDescent="0.25"><c r="S4542" s="9" t="str"><f t="shared" si="355"/><v/></c><c r="T4542" t="str"><f t="shared" si="356"/><v/></c><c r="U4542" t="str"><f t="shared" si="357"/><v/></c><c r="V4542" t="str"><f t="shared" si="358"/><v/></c><c r="AB4542" s="3" t="str"><f t="shared" si="354"/><v/></c><c r="AC4542" t="str"><f t="shared" si="359"/><v/></c></row><row r="4543" spans="19:29" x14ac:dyDescent="0.25"><c r="S4543" s="9" t="str"><f t="shared" si="355"/><v/></c><c r="T4543" t="str"><f t="shared" si="356"/><v/></c><c r="U4543" t="str"><f t="shared" si="357"/><v/></c><c r="V4543" t="str"><f t="shared" si="358"/><v/></c><c r="AB4543" s="3" t="str"><f t="shared" si="354"/><v/></c><c r="AC4543" t="str"><f t="shared" si="359"/><v/></c></row><row r="4544" spans="19:29" x14ac:dyDescent="0.25"><c r="S4544" s="9" t="str"><f t="shared" si="355"/><v/></c><c r="T4544" t="str"><f t="shared" si="356"/><v/></c><c r="U4544" t="str"><f t="shared" si="357"/><v/></c><c r="V4544" t="str"><f t="shared" si="358"/><v/></c><c r="AB4544" s="3" t="str"><f t="shared" si="354"/><v/></c><c r="AC4544" t="str"><f t="shared" si="359"/><v/></c></row><row r="4545" spans="19:29" x14ac:dyDescent="0.25"><c r="S4545" s="9" t="str"><f t="shared" si="355"/><v/></c><c r="T4545" t="str"><f t="shared" si="356"/><v/></c><c r="U4545" t="str"><f t="shared" si="357"/><v/></c><c r="V4545" t="str"><f t="shared" si="358"/><v/></c><c r="AB4545" s="3" t="str"><f t="shared" si="354"/><v/></c><c r="AC4545" t="str"><f t="shared" si="359"/><v/></c></row><row r="4546" spans="19:29" x14ac:dyDescent="0.25"><c r="S4546" s="9" t="str"><f t="shared" si="355"/><v/></c><c r="T4546" t="str"><f t="shared" si="356"/><v/></c><c r="U4546" t="str"><f t="shared" si="357"/><v/></c><c r="V4546" t="str"><f t="shared" si="358"/><v/></c><c r="AB4546" s="3" t="str"><f t="shared" ref="AB4546:AB4609" si="360">IF(ISBLANK(B4546),"", "10")</f><v/></c><c r="AC4546" t="str"><f t="shared" si="359"/><v/></c></row><row r="4547" spans="19:29" x14ac:dyDescent="0.25"><c r="S4547" s="9" t="str"><f t="shared" ref="S4547:S4610" si="361">IF(ISBLANK(B4547),"",B4547 )</f><v/></c><c r="T4547" t="str"><f t="shared" ref="T4547:T4610" si="362">IF(ISBLANK(B4547),"",B4547 )</f><v/></c><c r="U4547" t="str"><f t="shared" ref="U4547:U4610" si="363">IF(ISBLANK(B4547),"",B4547 )</f><v/></c><c r="V4547" t="str"><f t="shared" ref="V4547:V4610" si="364">IF(ISBLANK(B4547),"", "SHOP_SKU")</f><v/></c><c r="AB4547" s="3" t="str"><f t="shared" si="360"/><v/></c><c r="AC4547" t="str"><f t="shared" ref="AC4547:AC4610" si="365">IF(ISBLANK(B4547),"", "New")</f><v/></c></row><row r="4548" spans="19:29" x14ac:dyDescent="0.25"><c r="S4548" s="9" t="str"><f t="shared" si="361"/><v/></c><c r="T4548" t="str"><f t="shared" si="362"/><v/></c><c r="U4548" t="str"><f t="shared" si="363"/><v/></c><c r="V4548" t="str"><f t="shared" si="364"/><v/></c><c r="AB4548" s="3" t="str"><f t="shared" si="360"/><v/></c><c r="AC4548" t="str"><f t="shared" si="365"/><v/></c></row><row r="4549" spans="19:29" x14ac:dyDescent="0.25"><c r="S4549" s="9" t="str"><f t="shared" si="361"/><v/></c><c r="T4549" t="str"><f t="shared" si="362"/><v/></c><c r="U4549" t="str"><f t="shared" si="363"/><v/></c><c r="V4549" t="str"><f t="shared" si="364"/><v/></c><c r="AB4549" s="3" t="str"><f t="shared" si="360"/><v/></c><c r="AC4549" t="str"><f t="shared" si="365"/><v/></c></row><row r="4550" spans="19:29" x14ac:dyDescent="0.25"><c r="S4550" s="9" t="str"><f t="shared" si="361"/><v/></c><c r="T4550" t="str"><f t="shared" si="362"/><v/></c><c r="U4550" t="str"><f t="shared" si="363"/><v/></c><c r="V4550" t="str"><f t="shared" si="364"/><v/></c><c r="AB4550" s="3" t="str"><f t="shared" si="360"/><v/></c><c r="AC4550" t="str"><f t="shared" si="365"/><v/></c></row><row r="4551" spans="19:29" x14ac:dyDescent="0.25"><c r="S4551" s="9" t="str"><f t="shared" si="361"/><v/></c><c r="T4551" t="str"><f t="shared" si="362"/><v/></c><c r="U4551" t="str"><f t="shared" si="363"/><v/></c><c r="V4551" t="str"><f t="shared" si="364"/><v/></c><c r="AB4551" s="3" t="str"><f t="shared" si="360"/><v/></c><c r="AC4551" t="str"><f t="shared" si="365"/><v/></c></row><row r="4552" spans="19:29" x14ac:dyDescent="0.25"><c r="S4552" s="9" t="str"><f t="shared" si="361"/><v/></c><c r="T4552" t="str"><f t="shared" si="362"/><v/></c><c r="U4552" t="str"><f t="shared" si="363"/><v/></c><c r="V4552" t="str"><f t="shared" si="364"/><v/></c><c r="AB4552" s="3" t="str"><f t="shared" si="360"/><v/></c><c r="AC4552" t="str"><f t="shared" si="365"/><v/></c></row><row r="4553" spans="19:29" x14ac:dyDescent="0.25"><c r="S4553" s="9" t="str"><f t="shared" si="361"/><v/></c><c r="T4553" t="str"><f t="shared" si="362"/><v/></c><c r="U4553" t="str"><f t="shared" si="363"/><v/></c><c r="V4553" t="str"><f t="shared" si="364"/><v/></c><c r="AB4553" s="3" t="str"><f t="shared" si="360"/><v/></c><c r="AC4553" t="str"><f t="shared" si="365"/><v/></c></row><row r="4554" spans="19:29" x14ac:dyDescent="0.25"><c r="S4554" s="9" t="str"><f t="shared" si="361"/><v/></c><c r="T4554" t="str"><f t="shared" si="362"/><v/></c><c r="U4554" t="str"><f t="shared" si="363"/><v/></c><c r="V4554" t="str"><f t="shared" si="364"/><v/></c><c r="AB4554" s="3" t="str"><f t="shared" si="360"/><v/></c><c r="AC4554" t="str"><f t="shared" si="365"/><v/></c></row><row r="4555" spans="19:29" x14ac:dyDescent="0.25"><c r="S4555" s="9" t="str"><f t="shared" si="361"/><v/></c><c r="T4555" t="str"><f t="shared" si="362"/><v/></c><c r="U4555" t="str"><f t="shared" si="363"/><v/></c><c r="V4555" t="str"><f t="shared" si="364"/><v/></c><c r="AB4555" s="3" t="str"><f t="shared" si="360"/><v/></c><c r="AC4555" t="str"><f t="shared" si="365"/><v/></c></row><row r="4556" spans="19:29" x14ac:dyDescent="0.25"><c r="S4556" s="9" t="str"><f t="shared" si="361"/><v/></c><c r="T4556" t="str"><f t="shared" si="362"/><v/></c><c r="U4556" t="str"><f t="shared" si="363"/><v/></c><c r="V4556" t="str"><f t="shared" si="364"/><v/></c><c r="AB4556" s="3" t="str"><f t="shared" si="360"/><v/></c><c r="AC4556" t="str"><f t="shared" si="365"/><v/></c></row><row r="4557" spans="19:29" x14ac:dyDescent="0.25"><c r="S4557" s="9" t="str"><f t="shared" si="361"/><v/></c><c r="T4557" t="str"><f t="shared" si="362"/><v/></c><c r="U4557" t="str"><f t="shared" si="363"/><v/></c><c r="V4557" t="str"><f t="shared" si="364"/><v/></c><c r="AB4557" s="3" t="str"><f t="shared" si="360"/><v/></c><c r="AC4557" t="str"><f t="shared" si="365"/><v/></c></row><row r="4558" spans="19:29" x14ac:dyDescent="0.25"><c r="S4558" s="9" t="str"><f t="shared" si="361"/><v/></c><c r="T4558" t="str"><f t="shared" si="362"/><v/></c><c r="U4558" t="str"><f t="shared" si="363"/><v/></c><c r="V4558" t="str"><f t="shared" si="364"/><v/></c><c r="AB4558" s="3" t="str"><f t="shared" si="360"/><v/></c><c r="AC4558" t="str"><f t="shared" si="365"/><v/></c></row><row r="4559" spans="19:29" x14ac:dyDescent="0.25"><c r="S4559" s="9" t="str"><f t="shared" si="361"/><v/></c><c r="T4559" t="str"><f t="shared" si="362"/><v/></c><c r="U4559" t="str"><f t="shared" si="363"/><v/></c><c r="V4559" t="str"><f t="shared" si="364"/><v/></c><c r="AB4559" s="3" t="str"><f t="shared" si="360"/><v/></c><c r="AC4559" t="str"><f t="shared" si="365"/><v/></c></row><row r="4560" spans="19:29" x14ac:dyDescent="0.25"><c r="S4560" s="9" t="str"><f t="shared" si="361"/><v/></c><c r="T4560" t="str"><f t="shared" si="362"/><v/></c><c r="U4560" t="str"><f t="shared" si="363"/><v/></c><c r="V4560" t="str"><f t="shared" si="364"/><v/></c><c r="AB4560" s="3" t="str"><f t="shared" si="360"/><v/></c><c r="AC4560" t="str"><f t="shared" si="365"/><v/></c></row><row r="4561" spans="19:29" x14ac:dyDescent="0.25"><c r="S4561" s="9" t="str"><f t="shared" si="361"/><v/></c><c r="T4561" t="str"><f t="shared" si="362"/><v/></c><c r="U4561" t="str"><f t="shared" si="363"/><v/></c><c r="V4561" t="str"><f t="shared" si="364"/><v/></c><c r="AB4561" s="3" t="str"><f t="shared" si="360"/><v/></c><c r="AC4561" t="str"><f t="shared" si="365"/><v/></c></row><row r="4562" spans="19:29" x14ac:dyDescent="0.25"><c r="S4562" s="9" t="str"><f t="shared" si="361"/><v/></c><c r="T4562" t="str"><f t="shared" si="362"/><v/></c><c r="U4562" t="str"><f t="shared" si="363"/><v/></c><c r="V4562" t="str"><f t="shared" si="364"/><v/></c><c r="AB4562" s="3" t="str"><f t="shared" si="360"/><v/></c><c r="AC4562" t="str"><f t="shared" si="365"/><v/></c></row><row r="4563" spans="19:29" x14ac:dyDescent="0.25"><c r="S4563" s="9" t="str"><f t="shared" si="361"/><v/></c><c r="T4563" t="str"><f t="shared" si="362"/><v/></c><c r="U4563" t="str"><f t="shared" si="363"/><v/></c><c r="V4563" t="str"><f t="shared" si="364"/><v/></c><c r="AB4563" s="3" t="str"><f t="shared" si="360"/><v/></c><c r="AC4563" t="str"><f t="shared" si="365"/><v/></c></row><row r="4564" spans="19:29" x14ac:dyDescent="0.25"><c r="S4564" s="9" t="str"><f t="shared" si="361"/><v/></c><c r="T4564" t="str"><f t="shared" si="362"/><v/></c><c r="U4564" t="str"><f t="shared" si="363"/><v/></c><c r="V4564" t="str"><f t="shared" si="364"/><v/></c><c r="AB4564" s="3" t="str"><f t="shared" si="360"/><v/></c><c r="AC4564" t="str"><f t="shared" si="365"/><v/></c></row><row r="4565" spans="19:29" x14ac:dyDescent="0.25"><c r="S4565" s="9" t="str"><f t="shared" si="361"/><v/></c><c r="T4565" t="str"><f t="shared" si="362"/><v/></c><c r="U4565" t="str"><f t="shared" si="363"/><v/></c><c r="V4565" t="str"><f t="shared" si="364"/><v/></c><c r="AB4565" s="3" t="str"><f t="shared" si="360"/><v/></c><c r="AC4565" t="str"><f t="shared" si="365"/><v/></c></row><row r="4566" spans="19:29" x14ac:dyDescent="0.25"><c r="S4566" s="9" t="str"><f t="shared" si="361"/><v/></c><c r="T4566" t="str"><f t="shared" si="362"/><v/></c><c r="U4566" t="str"><f t="shared" si="363"/><v/></c><c r="V4566" t="str"><f t="shared" si="364"/><v/></c><c r="AB4566" s="3" t="str"><f t="shared" si="360"/><v/></c><c r="AC4566" t="str"><f t="shared" si="365"/><v/></c></row><row r="4567" spans="19:29" x14ac:dyDescent="0.25"><c r="S4567" s="9" t="str"><f t="shared" si="361"/><v/></c><c r="T4567" t="str"><f t="shared" si="362"/><v/></c><c r="U4567" t="str"><f t="shared" si="363"/><v/></c><c r="V4567" t="str"><f t="shared" si="364"/><v/></c><c r="AB4567" s="3" t="str"><f t="shared" si="360"/><v/></c><c r="AC4567" t="str"><f t="shared" si="365"/><v/></c></row><row r="4568" spans="19:29" x14ac:dyDescent="0.25"><c r="S4568" s="9" t="str"><f t="shared" si="361"/><v/></c><c r="T4568" t="str"><f t="shared" si="362"/><v/></c><c r="U4568" t="str"><f t="shared" si="363"/><v/></c><c r="V4568" t="str"><f t="shared" si="364"/><v/></c><c r="AB4568" s="3" t="str"><f t="shared" si="360"/><v/></c><c r="AC4568" t="str"><f t="shared" si="365"/><v/></c></row><row r="4569" spans="19:29" x14ac:dyDescent="0.25"><c r="S4569" s="9" t="str"><f t="shared" si="361"/><v/></c><c r="T4569" t="str"><f t="shared" si="362"/><v/></c><c r="U4569" t="str"><f t="shared" si="363"/><v/></c><c r="V4569" t="str"><f t="shared" si="364"/><v/></c><c r="AB4569" s="3" t="str"><f t="shared" si="360"/><v/></c><c r="AC4569" t="str"><f t="shared" si="365"/><v/></c></row><row r="4570" spans="19:29" x14ac:dyDescent="0.25"><c r="S4570" s="9" t="str"><f t="shared" si="361"/><v/></c><c r="T4570" t="str"><f t="shared" si="362"/><v/></c><c r="U4570" t="str"><f t="shared" si="363"/><v/></c><c r="V4570" t="str"><f t="shared" si="364"/><v/></c><c r="AB4570" s="3" t="str"><f t="shared" si="360"/><v/></c><c r="AC4570" t="str"><f t="shared" si="365"/><v/></c></row><row r="4571" spans="19:29" x14ac:dyDescent="0.25"><c r="S4571" s="9" t="str"><f t="shared" si="361"/><v/></c><c r="T4571" t="str"><f t="shared" si="362"/><v/></c><c r="U4571" t="str"><f t="shared" si="363"/><v/></c><c r="V4571" t="str"><f t="shared" si="364"/><v/></c><c r="AB4571" s="3" t="str"><f t="shared" si="360"/><v/></c><c r="AC4571" t="str"><f t="shared" si="365"/><v/></c></row><row r="4572" spans="19:29" x14ac:dyDescent="0.25"><c r="S4572" s="9" t="str"><f t="shared" si="361"/><v/></c><c r="T4572" t="str"><f t="shared" si="362"/><v/></c><c r="U4572" t="str"><f t="shared" si="363"/><v/></c><c r="V4572" t="str"><f t="shared" si="364"/><v/></c><c r="AB4572" s="3" t="str"><f t="shared" si="360"/><v/></c><c r="AC4572" t="str"><f t="shared" si="365"/><v/></c></row><row r="4573" spans="19:29" x14ac:dyDescent="0.25"><c r="S4573" s="9" t="str"><f t="shared" si="361"/><v/></c><c r="T4573" t="str"><f t="shared" si="362"/><v/></c><c r="U4573" t="str"><f t="shared" si="363"/><v/></c><c r="V4573" t="str"><f t="shared" si="364"/><v/></c><c r="AB4573" s="3" t="str"><f t="shared" si="360"/><v/></c><c r="AC4573" t="str"><f t="shared" si="365"/><v/></c></row><row r="4574" spans="19:29" x14ac:dyDescent="0.25"><c r="S4574" s="9" t="str"><f t="shared" si="361"/><v/></c><c r="T4574" t="str"><f t="shared" si="362"/><v/></c><c r="U4574" t="str"><f t="shared" si="363"/><v/></c><c r="V4574" t="str"><f t="shared" si="364"/><v/></c><c r="AB4574" s="3" t="str"><f t="shared" si="360"/><v/></c><c r="AC4574" t="str"><f t="shared" si="365"/><v/></c></row><row r="4575" spans="19:29" x14ac:dyDescent="0.25"><c r="S4575" s="9" t="str"><f t="shared" si="361"/><v/></c><c r="T4575" t="str"><f t="shared" si="362"/><v/></c><c r="U4575" t="str"><f t="shared" si="363"/><v/></c><c r="V4575" t="str"><f t="shared" si="364"/><v/></c><c r="AB4575" s="3" t="str"><f t="shared" si="360"/><v/></c><c r="AC4575" t="str"><f t="shared" si="365"/><v/></c></row><row r="4576" spans="19:29" x14ac:dyDescent="0.25"><c r="S4576" s="9" t="str"><f t="shared" si="361"/><v/></c><c r="T4576" t="str"><f t="shared" si="362"/><v/></c><c r="U4576" t="str"><f t="shared" si="363"/><v/></c><c r="V4576" t="str"><f t="shared" si="364"/><v/></c><c r="AB4576" s="3" t="str"><f t="shared" si="360"/><v/></c><c r="AC4576" t="str"><f t="shared" si="365"/><v/></c></row><row r="4577" spans="19:29" x14ac:dyDescent="0.25"><c r="S4577" s="9" t="str"><f t="shared" si="361"/><v/></c><c r="T4577" t="str"><f t="shared" si="362"/><v/></c><c r="U4577" t="str"><f t="shared" si="363"/><v/></c><c r="V4577" t="str"><f t="shared" si="364"/><v/></c><c r="AB4577" s="3" t="str"><f t="shared" si="360"/><v/></c><c r="AC4577" t="str"><f t="shared" si="365"/><v/></c></row><row r="4578" spans="19:29" x14ac:dyDescent="0.25"><c r="S4578" s="9" t="str"><f t="shared" si="361"/><v/></c><c r="T4578" t="str"><f t="shared" si="362"/><v/></c><c r="U4578" t="str"><f t="shared" si="363"/><v/></c><c r="V4578" t="str"><f t="shared" si="364"/><v/></c><c r="AB4578" s="3" t="str"><f t="shared" si="360"/><v/></c><c r="AC4578" t="str"><f t="shared" si="365"/><v/></c></row><row r="4579" spans="19:29" x14ac:dyDescent="0.25"><c r="S4579" s="9" t="str"><f t="shared" si="361"/><v/></c><c r="T4579" t="str"><f t="shared" si="362"/><v/></c><c r="U4579" t="str"><f t="shared" si="363"/><v/></c><c r="V4579" t="str"><f t="shared" si="364"/><v/></c><c r="AB4579" s="3" t="str"><f t="shared" si="360"/><v/></c><c r="AC4579" t="str"><f t="shared" si="365"/><v/></c></row><row r="4580" spans="19:29" x14ac:dyDescent="0.25"><c r="S4580" s="9" t="str"><f t="shared" si="361"/><v/></c><c r="T4580" t="str"><f t="shared" si="362"/><v/></c><c r="U4580" t="str"><f t="shared" si="363"/><v/></c><c r="V4580" t="str"><f t="shared" si="364"/><v/></c><c r="AB4580" s="3" t="str"><f t="shared" si="360"/><v/></c><c r="AC4580" t="str"><f t="shared" si="365"/><v/></c></row><row r="4581" spans="19:29" x14ac:dyDescent="0.25"><c r="S4581" s="9" t="str"><f t="shared" si="361"/><v/></c><c r="T4581" t="str"><f t="shared" si="362"/><v/></c><c r="U4581" t="str"><f t="shared" si="363"/><v/></c><c r="V4581" t="str"><f t="shared" si="364"/><v/></c><c r="AB4581" s="3" t="str"><f t="shared" si="360"/><v/></c><c r="AC4581" t="str"><f t="shared" si="365"/><v/></c></row><row r="4582" spans="19:29" x14ac:dyDescent="0.25"><c r="S4582" s="9" t="str"><f t="shared" si="361"/><v/></c><c r="T4582" t="str"><f t="shared" si="362"/><v/></c><c r="U4582" t="str"><f t="shared" si="363"/><v/></c><c r="V4582" t="str"><f t="shared" si="364"/><v/></c><c r="AB4582" s="3" t="str"><f t="shared" si="360"/><v/></c><c r="AC4582" t="str"><f t="shared" si="365"/><v/></c></row><row r="4583" spans="19:29" x14ac:dyDescent="0.25"><c r="S4583" s="9" t="str"><f t="shared" si="361"/><v/></c><c r="T4583" t="str"><f t="shared" si="362"/><v/></c><c r="U4583" t="str"><f t="shared" si="363"/><v/></c><c r="V4583" t="str"><f t="shared" si="364"/><v/></c><c r="AB4583" s="3" t="str"><f t="shared" si="360"/><v/></c><c r="AC4583" t="str"><f t="shared" si="365"/><v/></c></row><row r="4584" spans="19:29" x14ac:dyDescent="0.25"><c r="S4584" s="9" t="str"><f t="shared" si="361"/><v/></c><c r="T4584" t="str"><f t="shared" si="362"/><v/></c><c r="U4584" t="str"><f t="shared" si="363"/><v/></c><c r="V4584" t="str"><f t="shared" si="364"/><v/></c><c r="AB4584" s="3" t="str"><f t="shared" si="360"/><v/></c><c r="AC4584" t="str"><f t="shared" si="365"/><v/></c></row><row r="4585" spans="19:29" x14ac:dyDescent="0.25"><c r="S4585" s="9" t="str"><f t="shared" si="361"/><v/></c><c r="T4585" t="str"><f t="shared" si="362"/><v/></c><c r="U4585" t="str"><f t="shared" si="363"/><v/></c><c r="V4585" t="str"><f t="shared" si="364"/><v/></c><c r="AB4585" s="3" t="str"><f t="shared" si="360"/><v/></c><c r="AC4585" t="str"><f t="shared" si="365"/><v/></c></row><row r="4586" spans="19:29" x14ac:dyDescent="0.25"><c r="S4586" s="9" t="str"><f t="shared" si="361"/><v/></c><c r="T4586" t="str"><f t="shared" si="362"/><v/></c><c r="U4586" t="str"><f t="shared" si="363"/><v/></c><c r="V4586" t="str"><f t="shared" si="364"/><v/></c><c r="AB4586" s="3" t="str"><f t="shared" si="360"/><v/></c><c r="AC4586" t="str"><f t="shared" si="365"/><v/></c></row><row r="4587" spans="19:29" x14ac:dyDescent="0.25"><c r="S4587" s="9" t="str"><f t="shared" si="361"/><v/></c><c r="T4587" t="str"><f t="shared" si="362"/><v/></c><c r="U4587" t="str"><f t="shared" si="363"/><v/></c><c r="V4587" t="str"><f t="shared" si="364"/><v/></c><c r="AB4587" s="3" t="str"><f t="shared" si="360"/><v/></c><c r="AC4587" t="str"><f t="shared" si="365"/><v/></c></row><row r="4588" spans="19:29" x14ac:dyDescent="0.25"><c r="S4588" s="9" t="str"><f t="shared" si="361"/><v/></c><c r="T4588" t="str"><f t="shared" si="362"/><v/></c><c r="U4588" t="str"><f t="shared" si="363"/><v/></c><c r="V4588" t="str"><f t="shared" si="364"/><v/></c><c r="AB4588" s="3" t="str"><f t="shared" si="360"/><v/></c><c r="AC4588" t="str"><f t="shared" si="365"/><v/></c></row><row r="4589" spans="19:29" x14ac:dyDescent="0.25"><c r="S4589" s="9" t="str"><f t="shared" si="361"/><v/></c><c r="T4589" t="str"><f t="shared" si="362"/><v/></c><c r="U4589" t="str"><f t="shared" si="363"/><v/></c><c r="V4589" t="str"><f t="shared" si="364"/><v/></c><c r="AB4589" s="3" t="str"><f t="shared" si="360"/><v/></c><c r="AC4589" t="str"><f t="shared" si="365"/><v/></c></row><row r="4590" spans="19:29" x14ac:dyDescent="0.25"><c r="S4590" s="9" t="str"><f t="shared" si="361"/><v/></c><c r="T4590" t="str"><f t="shared" si="362"/><v/></c><c r="U4590" t="str"><f t="shared" si="363"/><v/></c><c r="V4590" t="str"><f t="shared" si="364"/><v/></c><c r="AB4590" s="3" t="str"><f t="shared" si="360"/><v/></c><c r="AC4590" t="str"><f t="shared" si="365"/><v/></c></row><row r="4591" spans="19:29" x14ac:dyDescent="0.25"><c r="S4591" s="9" t="str"><f t="shared" si="361"/><v/></c><c r="T4591" t="str"><f t="shared" si="362"/><v/></c><c r="U4591" t="str"><f t="shared" si="363"/><v/></c><c r="V4591" t="str"><f t="shared" si="364"/><v/></c><c r="AB4591" s="3" t="str"><f t="shared" si="360"/><v/></c><c r="AC4591" t="str"><f t="shared" si="365"/><v/></c></row><row r="4592" spans="19:29" x14ac:dyDescent="0.25"><c r="S4592" s="9" t="str"><f t="shared" si="361"/><v/></c><c r="T4592" t="str"><f t="shared" si="362"/><v/></c><c r="U4592" t="str"><f t="shared" si="363"/><v/></c><c r="V4592" t="str"><f t="shared" si="364"/><v/></c><c r="AB4592" s="3" t="str"><f t="shared" si="360"/><v/></c><c r="AC4592" t="str"><f t="shared" si="365"/><v/></c></row><row r="4593" spans="19:29" x14ac:dyDescent="0.25"><c r="S4593" s="9" t="str"><f t="shared" si="361"/><v/></c><c r="T4593" t="str"><f t="shared" si="362"/><v/></c><c r="U4593" t="str"><f t="shared" si="363"/><v/></c><c r="V4593" t="str"><f t="shared" si="364"/><v/></c><c r="AB4593" s="3" t="str"><f t="shared" si="360"/><v/></c><c r="AC4593" t="str"><f t="shared" si="365"/><v/></c></row><row r="4594" spans="19:29" x14ac:dyDescent="0.25"><c r="S4594" s="9" t="str"><f t="shared" si="361"/><v/></c><c r="T4594" t="str"><f t="shared" si="362"/><v/></c><c r="U4594" t="str"><f t="shared" si="363"/><v/></c><c r="V4594" t="str"><f t="shared" si="364"/><v/></c><c r="AB4594" s="3" t="str"><f t="shared" si="360"/><v/></c><c r="AC4594" t="str"><f t="shared" si="365"/><v/></c></row><row r="4595" spans="19:29" x14ac:dyDescent="0.25"><c r="S4595" s="9" t="str"><f t="shared" si="361"/><v/></c><c r="T4595" t="str"><f t="shared" si="362"/><v/></c><c r="U4595" t="str"><f t="shared" si="363"/><v/></c><c r="V4595" t="str"><f t="shared" si="364"/><v/></c><c r="AB4595" s="3" t="str"><f t="shared" si="360"/><v/></c><c r="AC4595" t="str"><f t="shared" si="365"/><v/></c></row><row r="4596" spans="19:29" x14ac:dyDescent="0.25"><c r="S4596" s="9" t="str"><f t="shared" si="361"/><v/></c><c r="T4596" t="str"><f t="shared" si="362"/><v/></c><c r="U4596" t="str"><f t="shared" si="363"/><v/></c><c r="V4596" t="str"><f t="shared" si="364"/><v/></c><c r="AB4596" s="3" t="str"><f t="shared" si="360"/><v/></c><c r="AC4596" t="str"><f t="shared" si="365"/><v/></c></row><row r="4597" spans="19:29" x14ac:dyDescent="0.25"><c r="S4597" s="9" t="str"><f t="shared" si="361"/><v/></c><c r="T4597" t="str"><f t="shared" si="362"/><v/></c><c r="U4597" t="str"><f t="shared" si="363"/><v/></c><c r="V4597" t="str"><f t="shared" si="364"/><v/></c><c r="AB4597" s="3" t="str"><f t="shared" si="360"/><v/></c><c r="AC4597" t="str"><f t="shared" si="365"/><v/></c></row><row r="4598" spans="19:29" x14ac:dyDescent="0.25"><c r="S4598" s="9" t="str"><f t="shared" si="361"/><v/></c><c r="T4598" t="str"><f t="shared" si="362"/><v/></c><c r="U4598" t="str"><f t="shared" si="363"/><v/></c><c r="V4598" t="str"><f t="shared" si="364"/><v/></c><c r="AB4598" s="3" t="str"><f t="shared" si="360"/><v/></c><c r="AC4598" t="str"><f t="shared" si="365"/><v/></c></row><row r="4599" spans="19:29" x14ac:dyDescent="0.25"><c r="S4599" s="9" t="str"><f t="shared" si="361"/><v/></c><c r="T4599" t="str"><f t="shared" si="362"/><v/></c><c r="U4599" t="str"><f t="shared" si="363"/><v/></c><c r="V4599" t="str"><f t="shared" si="364"/><v/></c><c r="AB4599" s="3" t="str"><f t="shared" si="360"/><v/></c><c r="AC4599" t="str"><f t="shared" si="365"/><v/></c></row><row r="4600" spans="19:29" x14ac:dyDescent="0.25"><c r="S4600" s="9" t="str"><f t="shared" si="361"/><v/></c><c r="T4600" t="str"><f t="shared" si="362"/><v/></c><c r="U4600" t="str"><f t="shared" si="363"/><v/></c><c r="V4600" t="str"><f t="shared" si="364"/><v/></c><c r="AB4600" s="3" t="str"><f t="shared" si="360"/><v/></c><c r="AC4600" t="str"><f t="shared" si="365"/><v/></c></row><row r="4601" spans="19:29" x14ac:dyDescent="0.25"><c r="S4601" s="9" t="str"><f t="shared" si="361"/><v/></c><c r="T4601" t="str"><f t="shared" si="362"/><v/></c><c r="U4601" t="str"><f t="shared" si="363"/><v/></c><c r="V4601" t="str"><f t="shared" si="364"/><v/></c><c r="AB4601" s="3" t="str"><f t="shared" si="360"/><v/></c><c r="AC4601" t="str"><f t="shared" si="365"/><v/></c></row><row r="4602" spans="19:29" x14ac:dyDescent="0.25"><c r="S4602" s="9" t="str"><f t="shared" si="361"/><v/></c><c r="T4602" t="str"><f t="shared" si="362"/><v/></c><c r="U4602" t="str"><f t="shared" si="363"/><v/></c><c r="V4602" t="str"><f t="shared" si="364"/><v/></c><c r="AB4602" s="3" t="str"><f t="shared" si="360"/><v/></c><c r="AC4602" t="str"><f t="shared" si="365"/><v/></c></row><row r="4603" spans="19:29" x14ac:dyDescent="0.25"><c r="S4603" s="9" t="str"><f t="shared" si="361"/><v/></c><c r="T4603" t="str"><f t="shared" si="362"/><v/></c><c r="U4603" t="str"><f t="shared" si="363"/><v/></c><c r="V4603" t="str"><f t="shared" si="364"/><v/></c><c r="AB4603" s="3" t="str"><f t="shared" si="360"/><v/></c><c r="AC4603" t="str"><f t="shared" si="365"/><v/></c></row><row r="4604" spans="19:29" x14ac:dyDescent="0.25"><c r="S4604" s="9" t="str"><f t="shared" si="361"/><v/></c><c r="T4604" t="str"><f t="shared" si="362"/><v/></c><c r="U4604" t="str"><f t="shared" si="363"/><v/></c><c r="V4604" t="str"><f t="shared" si="364"/><v/></c><c r="AB4604" s="3" t="str"><f t="shared" si="360"/><v/></c><c r="AC4604" t="str"><f t="shared" si="365"/><v/></c></row><row r="4605" spans="19:29" x14ac:dyDescent="0.25"><c r="S4605" s="9" t="str"><f t="shared" si="361"/><v/></c><c r="T4605" t="str"><f t="shared" si="362"/><v/></c><c r="U4605" t="str"><f t="shared" si="363"/><v/></c><c r="V4605" t="str"><f t="shared" si="364"/><v/></c><c r="AB4605" s="3" t="str"><f t="shared" si="360"/><v/></c><c r="AC4605" t="str"><f t="shared" si="365"/><v/></c></row><row r="4606" spans="19:29" x14ac:dyDescent="0.25"><c r="S4606" s="9" t="str"><f t="shared" si="361"/><v/></c><c r="T4606" t="str"><f t="shared" si="362"/><v/></c><c r="U4606" t="str"><f t="shared" si="363"/><v/></c><c r="V4606" t="str"><f t="shared" si="364"/><v/></c><c r="AB4606" s="3" t="str"><f t="shared" si="360"/><v/></c><c r="AC4606" t="str"><f t="shared" si="365"/><v/></c></row><row r="4607" spans="19:29" x14ac:dyDescent="0.25"><c r="S4607" s="9" t="str"><f t="shared" si="361"/><v/></c><c r="T4607" t="str"><f t="shared" si="362"/><v/></c><c r="U4607" t="str"><f t="shared" si="363"/><v/></c><c r="V4607" t="str"><f t="shared" si="364"/><v/></c><c r="AB4607" s="3" t="str"><f t="shared" si="360"/><v/></c><c r="AC4607" t="str"><f t="shared" si="365"/><v/></c></row><row r="4608" spans="19:29" x14ac:dyDescent="0.25"><c r="S4608" s="9" t="str"><f t="shared" si="361"/><v/></c><c r="T4608" t="str"><f t="shared" si="362"/><v/></c><c r="U4608" t="str"><f t="shared" si="363"/><v/></c><c r="V4608" t="str"><f t="shared" si="364"/><v/></c><c r="AB4608" s="3" t="str"><f t="shared" si="360"/><v/></c><c r="AC4608" t="str"><f t="shared" si="365"/><v/></c></row><row r="4609" spans="19:29" x14ac:dyDescent="0.25"><c r="S4609" s="9" t="str"><f t="shared" si="361"/><v/></c><c r="T4609" t="str"><f t="shared" si="362"/><v/></c><c r="U4609" t="str"><f t="shared" si="363"/><v/></c><c r="V4609" t="str"><f t="shared" si="364"/><v/></c><c r="AB4609" s="3" t="str"><f t="shared" si="360"/><v/></c><c r="AC4609" t="str"><f t="shared" si="365"/><v/></c></row><row r="4610" spans="19:29" x14ac:dyDescent="0.25"><c r="S4610" s="9" t="str"><f t="shared" si="361"/><v/></c><c r="T4610" t="str"><f t="shared" si="362"/><v/></c><c r="U4610" t="str"><f t="shared" si="363"/><v/></c><c r="V4610" t="str"><f t="shared" si="364"/><v/></c><c r="AB4610" s="3" t="str"><f t="shared" ref="AB4610:AB4673" si="366">IF(ISBLANK(B4610),"", "10")</f><v/></c><c r="AC4610" t="str"><f t="shared" si="365"/><v/></c></row><row r="4611" spans="19:29" x14ac:dyDescent="0.25"><c r="S4611" s="9" t="str"><f t="shared" ref="S4611:S4674" si="367">IF(ISBLANK(B4611),"",B4611 )</f><v/></c><c r="T4611" t="str"><f t="shared" ref="T4611:T4674" si="368">IF(ISBLANK(B4611),"",B4611 )</f><v/></c><c r="U4611" t="str"><f t="shared" ref="U4611:U4674" si="369">IF(ISBLANK(B4611),"",B4611 )</f><v/></c><c r="V4611" t="str"><f t="shared" ref="V4611:V4674" si="370">IF(ISBLANK(B4611),"", "SHOP_SKU")</f><v/></c><c r="AB4611" s="3" t="str"><f t="shared" si="366"/><v/></c><c r="AC4611" t="str"><f t="shared" ref="AC4611:AC4674" si="371">IF(ISBLANK(B4611),"", "New")</f><v/></c></row><row r="4612" spans="19:29" x14ac:dyDescent="0.25"><c r="S4612" s="9" t="str"><f t="shared" si="367"/><v/></c><c r="T4612" t="str"><f t="shared" si="368"/><v/></c><c r="U4612" t="str"><f t="shared" si="369"/><v/></c><c r="V4612" t="str"><f t="shared" si="370"/><v/></c><c r="AB4612" s="3" t="str"><f t="shared" si="366"/><v/></c><c r="AC4612" t="str"><f t="shared" si="371"/><v/></c></row><row r="4613" spans="19:29" x14ac:dyDescent="0.25"><c r="S4613" s="9" t="str"><f t="shared" si="367"/><v/></c><c r="T4613" t="str"><f t="shared" si="368"/><v/></c><c r="U4613" t="str"><f t="shared" si="369"/><v/></c><c r="V4613" t="str"><f t="shared" si="370"/><v/></c><c r="AB4613" s="3" t="str"><f t="shared" si="366"/><v/></c><c r="AC4613" t="str"><f t="shared" si="371"/><v/></c></row><row r="4614" spans="19:29" x14ac:dyDescent="0.25"><c r="S4614" s="9" t="str"><f t="shared" si="367"/><v/></c><c r="T4614" t="str"><f t="shared" si="368"/><v/></c><c r="U4614" t="str"><f t="shared" si="369"/><v/></c><c r="V4614" t="str"><f t="shared" si="370"/><v/></c><c r="AB4614" s="3" t="str"><f t="shared" si="366"/><v/></c><c r="AC4614" t="str"><f t="shared" si="371"/><v/></c></row><row r="4615" spans="19:29" x14ac:dyDescent="0.25"><c r="S4615" s="9" t="str"><f t="shared" si="367"/><v/></c><c r="T4615" t="str"><f t="shared" si="368"/><v/></c><c r="U4615" t="str"><f t="shared" si="369"/><v/></c><c r="V4615" t="str"><f t="shared" si="370"/><v/></c><c r="AB4615" s="3" t="str"><f t="shared" si="366"/><v/></c><c r="AC4615" t="str"><f t="shared" si="371"/><v/></c></row><row r="4616" spans="19:29" x14ac:dyDescent="0.25"><c r="S4616" s="9" t="str"><f t="shared" si="367"/><v/></c><c r="T4616" t="str"><f t="shared" si="368"/><v/></c><c r="U4616" t="str"><f t="shared" si="369"/><v/></c><c r="V4616" t="str"><f t="shared" si="370"/><v/></c><c r="AB4616" s="3" t="str"><f t="shared" si="366"/><v/></c><c r="AC4616" t="str"><f t="shared" si="371"/><v/></c></row><row r="4617" spans="19:29" x14ac:dyDescent="0.25"><c r="S4617" s="9" t="str"><f t="shared" si="367"/><v/></c><c r="T4617" t="str"><f t="shared" si="368"/><v/></c><c r="U4617" t="str"><f t="shared" si="369"/><v/></c><c r="V4617" t="str"><f t="shared" si="370"/><v/></c><c r="AB4617" s="3" t="str"><f t="shared" si="366"/><v/></c><c r="AC4617" t="str"><f t="shared" si="371"/><v/></c></row><row r="4618" spans="19:29" x14ac:dyDescent="0.25"><c r="S4618" s="9" t="str"><f t="shared" si="367"/><v/></c><c r="T4618" t="str"><f t="shared" si="368"/><v/></c><c r="U4618" t="str"><f t="shared" si="369"/><v/></c><c r="V4618" t="str"><f t="shared" si="370"/><v/></c><c r="AB4618" s="3" t="str"><f t="shared" si="366"/><v/></c><c r="AC4618" t="str"><f t="shared" si="371"/><v/></c></row><row r="4619" spans="19:29" x14ac:dyDescent="0.25"><c r="S4619" s="9" t="str"><f t="shared" si="367"/><v/></c><c r="T4619" t="str"><f t="shared" si="368"/><v/></c><c r="U4619" t="str"><f t="shared" si="369"/><v/></c><c r="V4619" t="str"><f t="shared" si="370"/><v/></c><c r="AB4619" s="3" t="str"><f t="shared" si="366"/><v/></c><c r="AC4619" t="str"><f t="shared" si="371"/><v/></c></row><row r="4620" spans="19:29" x14ac:dyDescent="0.25"><c r="S4620" s="9" t="str"><f t="shared" si="367"/><v/></c><c r="T4620" t="str"><f t="shared" si="368"/><v/></c><c r="U4620" t="str"><f t="shared" si="369"/><v/></c><c r="V4620" t="str"><f t="shared" si="370"/><v/></c><c r="AB4620" s="3" t="str"><f t="shared" si="366"/><v/></c><c r="AC4620" t="str"><f t="shared" si="371"/><v/></c></row><row r="4621" spans="19:29" x14ac:dyDescent="0.25"><c r="S4621" s="9" t="str"><f t="shared" si="367"/><v/></c><c r="T4621" t="str"><f t="shared" si="368"/><v/></c><c r="U4621" t="str"><f t="shared" si="369"/><v/></c><c r="V4621" t="str"><f t="shared" si="370"/><v/></c><c r="AB4621" s="3" t="str"><f t="shared" si="366"/><v/></c><c r="AC4621" t="str"><f t="shared" si="371"/><v/></c></row><row r="4622" spans="19:29" x14ac:dyDescent="0.25"><c r="S4622" s="9" t="str"><f t="shared" si="367"/><v/></c><c r="T4622" t="str"><f t="shared" si="368"/><v/></c><c r="U4622" t="str"><f t="shared" si="369"/><v/></c><c r="V4622" t="str"><f t="shared" si="370"/><v/></c><c r="AB4622" s="3" t="str"><f t="shared" si="366"/><v/></c><c r="AC4622" t="str"><f t="shared" si="371"/><v/></c></row><row r="4623" spans="19:29" x14ac:dyDescent="0.25"><c r="S4623" s="9" t="str"><f t="shared" si="367"/><v/></c><c r="T4623" t="str"><f t="shared" si="368"/><v/></c><c r="U4623" t="str"><f t="shared" si="369"/><v/></c><c r="V4623" t="str"><f t="shared" si="370"/><v/></c><c r="AB4623" s="3" t="str"><f t="shared" si="366"/><v/></c><c r="AC4623" t="str"><f t="shared" si="371"/><v/></c></row><row r="4624" spans="19:29" x14ac:dyDescent="0.25"><c r="S4624" s="9" t="str"><f t="shared" si="367"/><v/></c><c r="T4624" t="str"><f t="shared" si="368"/><v/></c><c r="U4624" t="str"><f t="shared" si="369"/><v/></c><c r="V4624" t="str"><f t="shared" si="370"/><v/></c><c r="AB4624" s="3" t="str"><f t="shared" si="366"/><v/></c><c r="AC4624" t="str"><f t="shared" si="371"/><v/></c></row><row r="4625" spans="19:29" x14ac:dyDescent="0.25"><c r="S4625" s="9" t="str"><f t="shared" si="367"/><v/></c><c r="T4625" t="str"><f t="shared" si="368"/><v/></c><c r="U4625" t="str"><f t="shared" si="369"/><v/></c><c r="V4625" t="str"><f t="shared" si="370"/><v/></c><c r="AB4625" s="3" t="str"><f t="shared" si="366"/><v/></c><c r="AC4625" t="str"><f t="shared" si="371"/><v/></c></row><row r="4626" spans="19:29" x14ac:dyDescent="0.25"><c r="S4626" s="9" t="str"><f t="shared" si="367"/><v/></c><c r="T4626" t="str"><f t="shared" si="368"/><v/></c><c r="U4626" t="str"><f t="shared" si="369"/><v/></c><c r="V4626" t="str"><f t="shared" si="370"/><v/></c><c r="AB4626" s="3" t="str"><f t="shared" si="366"/><v/></c><c r="AC4626" t="str"><f t="shared" si="371"/><v/></c></row><row r="4627" spans="19:29" x14ac:dyDescent="0.25"><c r="S4627" s="9" t="str"><f t="shared" si="367"/><v/></c><c r="T4627" t="str"><f t="shared" si="368"/><v/></c><c r="U4627" t="str"><f t="shared" si="369"/><v/></c><c r="V4627" t="str"><f t="shared" si="370"/><v/></c><c r="AB4627" s="3" t="str"><f t="shared" si="366"/><v/></c><c r="AC4627" t="str"><f t="shared" si="371"/><v/></c></row><row r="4628" spans="19:29" x14ac:dyDescent="0.25"><c r="S4628" s="9" t="str"><f t="shared" si="367"/><v/></c><c r="T4628" t="str"><f t="shared" si="368"/><v/></c><c r="U4628" t="str"><f t="shared" si="369"/><v/></c><c r="V4628" t="str"><f t="shared" si="370"/><v/></c><c r="AB4628" s="3" t="str"><f t="shared" si="366"/><v/></c><c r="AC4628" t="str"><f t="shared" si="371"/><v/></c></row><row r="4629" spans="19:29" x14ac:dyDescent="0.25"><c r="S4629" s="9" t="str"><f t="shared" si="367"/><v/></c><c r="T4629" t="str"><f t="shared" si="368"/><v/></c><c r="U4629" t="str"><f t="shared" si="369"/><v/></c><c r="V4629" t="str"><f t="shared" si="370"/><v/></c><c r="AB4629" s="3" t="str"><f t="shared" si="366"/><v/></c><c r="AC4629" t="str"><f t="shared" si="371"/><v/></c></row><row r="4630" spans="19:29" x14ac:dyDescent="0.25"><c r="S4630" s="9" t="str"><f t="shared" si="367"/><v/></c><c r="T4630" t="str"><f t="shared" si="368"/><v/></c><c r="U4630" t="str"><f t="shared" si="369"/><v/></c><c r="V4630" t="str"><f t="shared" si="370"/><v/></c><c r="AB4630" s="3" t="str"><f t="shared" si="366"/><v/></c><c r="AC4630" t="str"><f t="shared" si="371"/><v/></c></row><row r="4631" spans="19:29" x14ac:dyDescent="0.25"><c r="S4631" s="9" t="str"><f t="shared" si="367"/><v/></c><c r="T4631" t="str"><f t="shared" si="368"/><v/></c><c r="U4631" t="str"><f t="shared" si="369"/><v/></c><c r="V4631" t="str"><f t="shared" si="370"/><v/></c><c r="AB4631" s="3" t="str"><f t="shared" si="366"/><v/></c><c r="AC4631" t="str"><f t="shared" si="371"/><v/></c></row><row r="4632" spans="19:29" x14ac:dyDescent="0.25"><c r="S4632" s="9" t="str"><f t="shared" si="367"/><v/></c><c r="T4632" t="str"><f t="shared" si="368"/><v/></c><c r="U4632" t="str"><f t="shared" si="369"/><v/></c><c r="V4632" t="str"><f t="shared" si="370"/><v/></c><c r="AB4632" s="3" t="str"><f t="shared" si="366"/><v/></c><c r="AC4632" t="str"><f t="shared" si="371"/><v/></c></row><row r="4633" spans="19:29" x14ac:dyDescent="0.25"><c r="S4633" s="9" t="str"><f t="shared" si="367"/><v/></c><c r="T4633" t="str"><f t="shared" si="368"/><v/></c><c r="U4633" t="str"><f t="shared" si="369"/><v/></c><c r="V4633" t="str"><f t="shared" si="370"/><v/></c><c r="AB4633" s="3" t="str"><f t="shared" si="366"/><v/></c><c r="AC4633" t="str"><f t="shared" si="371"/><v/></c></row><row r="4634" spans="19:29" x14ac:dyDescent="0.25"><c r="S4634" s="9" t="str"><f t="shared" si="367"/><v/></c><c r="T4634" t="str"><f t="shared" si="368"/><v/></c><c r="U4634" t="str"><f t="shared" si="369"/><v/></c><c r="V4634" t="str"><f t="shared" si="370"/><v/></c><c r="AB4634" s="3" t="str"><f t="shared" si="366"/><v/></c><c r="AC4634" t="str"><f t="shared" si="371"/><v/></c></row><row r="4635" spans="19:29" x14ac:dyDescent="0.25"><c r="S4635" s="9" t="str"><f t="shared" si="367"/><v/></c><c r="T4635" t="str"><f t="shared" si="368"/><v/></c><c r="U4635" t="str"><f t="shared" si="369"/><v/></c><c r="V4635" t="str"><f t="shared" si="370"/><v/></c><c r="AB4635" s="3" t="str"><f t="shared" si="366"/><v/></c><c r="AC4635" t="str"><f t="shared" si="371"/><v/></c></row><row r="4636" spans="19:29" x14ac:dyDescent="0.25"><c r="S4636" s="9" t="str"><f t="shared" si="367"/><v/></c><c r="T4636" t="str"><f t="shared" si="368"/><v/></c><c r="U4636" t="str"><f t="shared" si="369"/><v/></c><c r="V4636" t="str"><f t="shared" si="370"/><v/></c><c r="AB4636" s="3" t="str"><f t="shared" si="366"/><v/></c><c r="AC4636" t="str"><f t="shared" si="371"/><v/></c></row><row r="4637" spans="19:29" x14ac:dyDescent="0.25"><c r="S4637" s="9" t="str"><f t="shared" si="367"/><v/></c><c r="T4637" t="str"><f t="shared" si="368"/><v/></c><c r="U4637" t="str"><f t="shared" si="369"/><v/></c><c r="V4637" t="str"><f t="shared" si="370"/><v/></c><c r="AB4637" s="3" t="str"><f t="shared" si="366"/><v/></c><c r="AC4637" t="str"><f t="shared" si="371"/><v/></c></row><row r="4638" spans="19:29" x14ac:dyDescent="0.25"><c r="S4638" s="9" t="str"><f t="shared" si="367"/><v/></c><c r="T4638" t="str"><f t="shared" si="368"/><v/></c><c r="U4638" t="str"><f t="shared" si="369"/><v/></c><c r="V4638" t="str"><f t="shared" si="370"/><v/></c><c r="AB4638" s="3" t="str"><f t="shared" si="366"/><v/></c><c r="AC4638" t="str"><f t="shared" si="371"/><v/></c></row><row r="4639" spans="19:29" x14ac:dyDescent="0.25"><c r="S4639" s="9" t="str"><f t="shared" si="367"/><v/></c><c r="T4639" t="str"><f t="shared" si="368"/><v/></c><c r="U4639" t="str"><f t="shared" si="369"/><v/></c><c r="V4639" t="str"><f t="shared" si="370"/><v/></c><c r="AB4639" s="3" t="str"><f t="shared" si="366"/><v/></c><c r="AC4639" t="str"><f t="shared" si="371"/><v/></c></row><row r="4640" spans="19:29" x14ac:dyDescent="0.25"><c r="S4640" s="9" t="str"><f t="shared" si="367"/><v/></c><c r="T4640" t="str"><f t="shared" si="368"/><v/></c><c r="U4640" t="str"><f t="shared" si="369"/><v/></c><c r="V4640" t="str"><f t="shared" si="370"/><v/></c><c r="AB4640" s="3" t="str"><f t="shared" si="366"/><v/></c><c r="AC4640" t="str"><f t="shared" si="371"/><v/></c></row><row r="4641" spans="19:29" x14ac:dyDescent="0.25"><c r="S4641" s="9" t="str"><f t="shared" si="367"/><v/></c><c r="T4641" t="str"><f t="shared" si="368"/><v/></c><c r="U4641" t="str"><f t="shared" si="369"/><v/></c><c r="V4641" t="str"><f t="shared" si="370"/><v/></c><c r="AB4641" s="3" t="str"><f t="shared" si="366"/><v/></c><c r="AC4641" t="str"><f t="shared" si="371"/><v/></c></row><row r="4642" spans="19:29" x14ac:dyDescent="0.25"><c r="S4642" s="9" t="str"><f t="shared" si="367"/><v/></c><c r="T4642" t="str"><f t="shared" si="368"/><v/></c><c r="U4642" t="str"><f t="shared" si="369"/><v/></c><c r="V4642" t="str"><f t="shared" si="370"/><v/></c><c r="AB4642" s="3" t="str"><f t="shared" si="366"/><v/></c><c r="AC4642" t="str"><f t="shared" si="371"/><v/></c></row><row r="4643" spans="19:29" x14ac:dyDescent="0.25"><c r="S4643" s="9" t="str"><f t="shared" si="367"/><v/></c><c r="T4643" t="str"><f t="shared" si="368"/><v/></c><c r="U4643" t="str"><f t="shared" si="369"/><v/></c><c r="V4643" t="str"><f t="shared" si="370"/><v/></c><c r="AB4643" s="3" t="str"><f t="shared" si="366"/><v/></c><c r="AC4643" t="str"><f t="shared" si="371"/><v/></c></row><row r="4644" spans="19:29" x14ac:dyDescent="0.25"><c r="S4644" s="9" t="str"><f t="shared" si="367"/><v/></c><c r="T4644" t="str"><f t="shared" si="368"/><v/></c><c r="U4644" t="str"><f t="shared" si="369"/><v/></c><c r="V4644" t="str"><f t="shared" si="370"/><v/></c><c r="AB4644" s="3" t="str"><f t="shared" si="366"/><v/></c><c r="AC4644" t="str"><f t="shared" si="371"/><v/></c></row><row r="4645" spans="19:29" x14ac:dyDescent="0.25"><c r="S4645" s="9" t="str"><f t="shared" si="367"/><v/></c><c r="T4645" t="str"><f t="shared" si="368"/><v/></c><c r="U4645" t="str"><f t="shared" si="369"/><v/></c><c r="V4645" t="str"><f t="shared" si="370"/><v/></c><c r="AB4645" s="3" t="str"><f t="shared" si="366"/><v/></c><c r="AC4645" t="str"><f t="shared" si="371"/><v/></c></row><row r="4646" spans="19:29" x14ac:dyDescent="0.25"><c r="S4646" s="9" t="str"><f t="shared" si="367"/><v/></c><c r="T4646" t="str"><f t="shared" si="368"/><v/></c><c r="U4646" t="str"><f t="shared" si="369"/><v/></c><c r="V4646" t="str"><f t="shared" si="370"/><v/></c><c r="AB4646" s="3" t="str"><f t="shared" si="366"/><v/></c><c r="AC4646" t="str"><f t="shared" si="371"/><v/></c></row><row r="4647" spans="19:29" x14ac:dyDescent="0.25"><c r="S4647" s="9" t="str"><f t="shared" si="367"/><v/></c><c r="T4647" t="str"><f t="shared" si="368"/><v/></c><c r="U4647" t="str"><f t="shared" si="369"/><v/></c><c r="V4647" t="str"><f t="shared" si="370"/><v/></c><c r="AB4647" s="3" t="str"><f t="shared" si="366"/><v/></c><c r="AC4647" t="str"><f t="shared" si="371"/><v/></c></row><row r="4648" spans="19:29" x14ac:dyDescent="0.25"><c r="S4648" s="9" t="str"><f t="shared" si="367"/><v/></c><c r="T4648" t="str"><f t="shared" si="368"/><v/></c><c r="U4648" t="str"><f t="shared" si="369"/><v/></c><c r="V4648" t="str"><f t="shared" si="370"/><v/></c><c r="AB4648" s="3" t="str"><f t="shared" si="366"/><v/></c><c r="AC4648" t="str"><f t="shared" si="371"/><v/></c></row><row r="4649" spans="19:29" x14ac:dyDescent="0.25"><c r="S4649" s="9" t="str"><f t="shared" si="367"/><v/></c><c r="T4649" t="str"><f t="shared" si="368"/><v/></c><c r="U4649" t="str"><f t="shared" si="369"/><v/></c><c r="V4649" t="str"><f t="shared" si="370"/><v/></c><c r="AB4649" s="3" t="str"><f t="shared" si="366"/><v/></c><c r="AC4649" t="str"><f t="shared" si="371"/><v/></c></row><row r="4650" spans="19:29" x14ac:dyDescent="0.25"><c r="S4650" s="9" t="str"><f t="shared" si="367"/><v/></c><c r="T4650" t="str"><f t="shared" si="368"/><v/></c><c r="U4650" t="str"><f t="shared" si="369"/><v/></c><c r="V4650" t="str"><f t="shared" si="370"/><v/></c><c r="AB4650" s="3" t="str"><f t="shared" si="366"/><v/></c><c r="AC4650" t="str"><f t="shared" si="371"/><v/></c></row><row r="4651" spans="19:29" x14ac:dyDescent="0.25"><c r="S4651" s="9" t="str"><f t="shared" si="367"/><v/></c><c r="T4651" t="str"><f t="shared" si="368"/><v/></c><c r="U4651" t="str"><f t="shared" si="369"/><v/></c><c r="V4651" t="str"><f t="shared" si="370"/><v/></c><c r="AB4651" s="3" t="str"><f t="shared" si="366"/><v/></c><c r="AC4651" t="str"><f t="shared" si="371"/><v/></c></row><row r="4652" spans="19:29" x14ac:dyDescent="0.25"><c r="S4652" s="9" t="str"><f t="shared" si="367"/><v/></c><c r="T4652" t="str"><f t="shared" si="368"/><v/></c><c r="U4652" t="str"><f t="shared" si="369"/><v/></c><c r="V4652" t="str"><f t="shared" si="370"/><v/></c><c r="AB4652" s="3" t="str"><f t="shared" si="366"/><v/></c><c r="AC4652" t="str"><f t="shared" si="371"/><v/></c></row><row r="4653" spans="19:29" x14ac:dyDescent="0.25"><c r="S4653" s="9" t="str"><f t="shared" si="367"/><v/></c><c r="T4653" t="str"><f t="shared" si="368"/><v/></c><c r="U4653" t="str"><f t="shared" si="369"/><v/></c><c r="V4653" t="str"><f t="shared" si="370"/><v/></c><c r="AB4653" s="3" t="str"><f t="shared" si="366"/><v/></c><c r="AC4653" t="str"><f t="shared" si="371"/><v/></c></row><row r="4654" spans="19:29" x14ac:dyDescent="0.25"><c r="S4654" s="9" t="str"><f t="shared" si="367"/><v/></c><c r="T4654" t="str"><f t="shared" si="368"/><v/></c><c r="U4654" t="str"><f t="shared" si="369"/><v/></c><c r="V4654" t="str"><f t="shared" si="370"/><v/></c><c r="AB4654" s="3" t="str"><f t="shared" si="366"/><v/></c><c r="AC4654" t="str"><f t="shared" si="371"/><v/></c></row><row r="4655" spans="19:29" x14ac:dyDescent="0.25"><c r="S4655" s="9" t="str"><f t="shared" si="367"/><v/></c><c r="T4655" t="str"><f t="shared" si="368"/><v/></c><c r="U4655" t="str"><f t="shared" si="369"/><v/></c><c r="V4655" t="str"><f t="shared" si="370"/><v/></c><c r="AB4655" s="3" t="str"><f t="shared" si="366"/><v/></c><c r="AC4655" t="str"><f t="shared" si="371"/><v/></c></row><row r="4656" spans="19:29" x14ac:dyDescent="0.25"><c r="S4656" s="9" t="str"><f t="shared" si="367"/><v/></c><c r="T4656" t="str"><f t="shared" si="368"/><v/></c><c r="U4656" t="str"><f t="shared" si="369"/><v/></c><c r="V4656" t="str"><f t="shared" si="370"/><v/></c><c r="AB4656" s="3" t="str"><f t="shared" si="366"/><v/></c><c r="AC4656" t="str"><f t="shared" si="371"/><v/></c></row><row r="4657" spans="19:29" x14ac:dyDescent="0.25"><c r="S4657" s="9" t="str"><f t="shared" si="367"/><v/></c><c r="T4657" t="str"><f t="shared" si="368"/><v/></c><c r="U4657" t="str"><f t="shared" si="369"/><v/></c><c r="V4657" t="str"><f t="shared" si="370"/><v/></c><c r="AB4657" s="3" t="str"><f t="shared" si="366"/><v/></c><c r="AC4657" t="str"><f t="shared" si="371"/><v/></c></row><row r="4658" spans="19:29" x14ac:dyDescent="0.25"><c r="S4658" s="9" t="str"><f t="shared" si="367"/><v/></c><c r="T4658" t="str"><f t="shared" si="368"/><v/></c><c r="U4658" t="str"><f t="shared" si="369"/><v/></c><c r="V4658" t="str"><f t="shared" si="370"/><v/></c><c r="AB4658" s="3" t="str"><f t="shared" si="366"/><v/></c><c r="AC4658" t="str"><f t="shared" si="371"/><v/></c></row><row r="4659" spans="19:29" x14ac:dyDescent="0.25"><c r="S4659" s="9" t="str"><f t="shared" si="367"/><v/></c><c r="T4659" t="str"><f t="shared" si="368"/><v/></c><c r="U4659" t="str"><f t="shared" si="369"/><v/></c><c r="V4659" t="str"><f t="shared" si="370"/><v/></c><c r="AB4659" s="3" t="str"><f t="shared" si="366"/><v/></c><c r="AC4659" t="str"><f t="shared" si="371"/><v/></c></row><row r="4660" spans="19:29" x14ac:dyDescent="0.25"><c r="S4660" s="9" t="str"><f t="shared" si="367"/><v/></c><c r="T4660" t="str"><f t="shared" si="368"/><v/></c><c r="U4660" t="str"><f t="shared" si="369"/><v/></c><c r="V4660" t="str"><f t="shared" si="370"/><v/></c><c r="AB4660" s="3" t="str"><f t="shared" si="366"/><v/></c><c r="AC4660" t="str"><f t="shared" si="371"/><v/></c></row><row r="4661" spans="19:29" x14ac:dyDescent="0.25"><c r="S4661" s="9" t="str"><f t="shared" si="367"/><v/></c><c r="T4661" t="str"><f t="shared" si="368"/><v/></c><c r="U4661" t="str"><f t="shared" si="369"/><v/></c><c r="V4661" t="str"><f t="shared" si="370"/><v/></c><c r="AB4661" s="3" t="str"><f t="shared" si="366"/><v/></c><c r="AC4661" t="str"><f t="shared" si="371"/><v/></c></row><row r="4662" spans="19:29" x14ac:dyDescent="0.25"><c r="S4662" s="9" t="str"><f t="shared" si="367"/><v/></c><c r="T4662" t="str"><f t="shared" si="368"/><v/></c><c r="U4662" t="str"><f t="shared" si="369"/><v/></c><c r="V4662" t="str"><f t="shared" si="370"/><v/></c><c r="AB4662" s="3" t="str"><f t="shared" si="366"/><v/></c><c r="AC4662" t="str"><f t="shared" si="371"/><v/></c></row><row r="4663" spans="19:29" x14ac:dyDescent="0.25"><c r="S4663" s="9" t="str"><f t="shared" si="367"/><v/></c><c r="T4663" t="str"><f t="shared" si="368"/><v/></c><c r="U4663" t="str"><f t="shared" si="369"/><v/></c><c r="V4663" t="str"><f t="shared" si="370"/><v/></c><c r="AB4663" s="3" t="str"><f t="shared" si="366"/><v/></c><c r="AC4663" t="str"><f t="shared" si="371"/><v/></c></row><row r="4664" spans="19:29" x14ac:dyDescent="0.25"><c r="S4664" s="9" t="str"><f t="shared" si="367"/><v/></c><c r="T4664" t="str"><f t="shared" si="368"/><v/></c><c r="U4664" t="str"><f t="shared" si="369"/><v/></c><c r="V4664" t="str"><f t="shared" si="370"/><v/></c><c r="AB4664" s="3" t="str"><f t="shared" si="366"/><v/></c><c r="AC4664" t="str"><f t="shared" si="371"/><v/></c></row><row r="4665" spans="19:29" x14ac:dyDescent="0.25"><c r="S4665" s="9" t="str"><f t="shared" si="367"/><v/></c><c r="T4665" t="str"><f t="shared" si="368"/><v/></c><c r="U4665" t="str"><f t="shared" si="369"/><v/></c><c r="V4665" t="str"><f t="shared" si="370"/><v/></c><c r="AB4665" s="3" t="str"><f t="shared" si="366"/><v/></c><c r="AC4665" t="str"><f t="shared" si="371"/><v/></c></row><row r="4666" spans="19:29" x14ac:dyDescent="0.25"><c r="S4666" s="9" t="str"><f t="shared" si="367"/><v/></c><c r="T4666" t="str"><f t="shared" si="368"/><v/></c><c r="U4666" t="str"><f t="shared" si="369"/><v/></c><c r="V4666" t="str"><f t="shared" si="370"/><v/></c><c r="AB4666" s="3" t="str"><f t="shared" si="366"/><v/></c><c r="AC4666" t="str"><f t="shared" si="371"/><v/></c></row><row r="4667" spans="19:29" x14ac:dyDescent="0.25"><c r="S4667" s="9" t="str"><f t="shared" si="367"/><v/></c><c r="T4667" t="str"><f t="shared" si="368"/><v/></c><c r="U4667" t="str"><f t="shared" si="369"/><v/></c><c r="V4667" t="str"><f t="shared" si="370"/><v/></c><c r="AB4667" s="3" t="str"><f t="shared" si="366"/><v/></c><c r="AC4667" t="str"><f t="shared" si="371"/><v/></c></row><row r="4668" spans="19:29" x14ac:dyDescent="0.25"><c r="S4668" s="9" t="str"><f t="shared" si="367"/><v/></c><c r="T4668" t="str"><f t="shared" si="368"/><v/></c><c r="U4668" t="str"><f t="shared" si="369"/><v/></c><c r="V4668" t="str"><f t="shared" si="370"/><v/></c><c r="AB4668" s="3" t="str"><f t="shared" si="366"/><v/></c><c r="AC4668" t="str"><f t="shared" si="371"/><v/></c></row><row r="4669" spans="19:29" x14ac:dyDescent="0.25"><c r="S4669" s="9" t="str"><f t="shared" si="367"/><v/></c><c r="T4669" t="str"><f t="shared" si="368"/><v/></c><c r="U4669" t="str"><f t="shared" si="369"/><v/></c><c r="V4669" t="str"><f t="shared" si="370"/><v/></c><c r="AB4669" s="3" t="str"><f t="shared" si="366"/><v/></c><c r="AC4669" t="str"><f t="shared" si="371"/><v/></c></row><row r="4670" spans="19:29" x14ac:dyDescent="0.25"><c r="S4670" s="9" t="str"><f t="shared" si="367"/><v/></c><c r="T4670" t="str"><f t="shared" si="368"/><v/></c><c r="U4670" t="str"><f t="shared" si="369"/><v/></c><c r="V4670" t="str"><f t="shared" si="370"/><v/></c><c r="AB4670" s="3" t="str"><f t="shared" si="366"/><v/></c><c r="AC4670" t="str"><f t="shared" si="371"/><v/></c></row><row r="4671" spans="19:29" x14ac:dyDescent="0.25"><c r="S4671" s="9" t="str"><f t="shared" si="367"/><v/></c><c r="T4671" t="str"><f t="shared" si="368"/><v/></c><c r="U4671" t="str"><f t="shared" si="369"/><v/></c><c r="V4671" t="str"><f t="shared" si="370"/><v/></c><c r="AB4671" s="3" t="str"><f t="shared" si="366"/><v/></c><c r="AC4671" t="str"><f t="shared" si="371"/><v/></c></row><row r="4672" spans="19:29" x14ac:dyDescent="0.25"><c r="S4672" s="9" t="str"><f t="shared" si="367"/><v/></c><c r="T4672" t="str"><f t="shared" si="368"/><v/></c><c r="U4672" t="str"><f t="shared" si="369"/><v/></c><c r="V4672" t="str"><f t="shared" si="370"/><v/></c><c r="AB4672" s="3" t="str"><f t="shared" si="366"/><v/></c><c r="AC4672" t="str"><f t="shared" si="371"/><v/></c></row><row r="4673" spans="19:29" x14ac:dyDescent="0.25"><c r="S4673" s="9" t="str"><f t="shared" si="367"/><v/></c><c r="T4673" t="str"><f t="shared" si="368"/><v/></c><c r="U4673" t="str"><f t="shared" si="369"/><v/></c><c r="V4673" t="str"><f t="shared" si="370"/><v/></c><c r="AB4673" s="3" t="str"><f t="shared" si="366"/><v/></c><c r="AC4673" t="str"><f t="shared" si="371"/><v/></c></row><row r="4674" spans="19:29" x14ac:dyDescent="0.25"><c r="S4674" s="9" t="str"><f t="shared" si="367"/><v/></c><c r="T4674" t="str"><f t="shared" si="368"/><v/></c><c r="U4674" t="str"><f t="shared" si="369"/><v/></c><c r="V4674" t="str"><f t="shared" si="370"/><v/></c><c r="AB4674" s="3" t="str"><f t="shared" ref="AB4674:AB4737" si="372">IF(ISBLANK(B4674),"", "10")</f><v/></c><c r="AC4674" t="str"><f t="shared" si="371"/><v/></c></row><row r="4675" spans="19:29" x14ac:dyDescent="0.25"><c r="S4675" s="9" t="str"><f t="shared" ref="S4675:S4738" si="373">IF(ISBLANK(B4675),"",B4675 )</f><v/></c><c r="T4675" t="str"><f t="shared" ref="T4675:T4738" si="374">IF(ISBLANK(B4675),"",B4675 )</f><v/></c><c r="U4675" t="str"><f t="shared" ref="U4675:U4738" si="375">IF(ISBLANK(B4675),"",B4675 )</f><v/></c><c r="V4675" t="str"><f t="shared" ref="V4675:V4738" si="376">IF(ISBLANK(B4675),"", "SHOP_SKU")</f><v/></c><c r="AB4675" s="3" t="str"><f t="shared" si="372"/><v/></c><c r="AC4675" t="str"><f t="shared" ref="AC4675:AC4738" si="377">IF(ISBLANK(B4675),"", "New")</f><v/></c></row><row r="4676" spans="19:29" x14ac:dyDescent="0.25"><c r="S4676" s="9" t="str"><f t="shared" si="373"/><v/></c><c r="T4676" t="str"><f t="shared" si="374"/><v/></c><c r="U4676" t="str"><f t="shared" si="375"/><v/></c><c r="V4676" t="str"><f t="shared" si="376"/><v/></c><c r="AB4676" s="3" t="str"><f t="shared" si="372"/><v/></c><c r="AC4676" t="str"><f t="shared" si="377"/><v/></c></row><row r="4677" spans="19:29" x14ac:dyDescent="0.25"><c r="S4677" s="9" t="str"><f t="shared" si="373"/><v/></c><c r="T4677" t="str"><f t="shared" si="374"/><v/></c><c r="U4677" t="str"><f t="shared" si="375"/><v/></c><c r="V4677" t="str"><f t="shared" si="376"/><v/></c><c r="AB4677" s="3" t="str"><f t="shared" si="372"/><v/></c><c r="AC4677" t="str"><f t="shared" si="377"/><v/></c></row><row r="4678" spans="19:29" x14ac:dyDescent="0.25"><c r="S4678" s="9" t="str"><f t="shared" si="373"/><v/></c><c r="T4678" t="str"><f t="shared" si="374"/><v/></c><c r="U4678" t="str"><f t="shared" si="375"/><v/></c><c r="V4678" t="str"><f t="shared" si="376"/><v/></c><c r="AB4678" s="3" t="str"><f t="shared" si="372"/><v/></c><c r="AC4678" t="str"><f t="shared" si="377"/><v/></c></row><row r="4679" spans="19:29" x14ac:dyDescent="0.25"><c r="S4679" s="9" t="str"><f t="shared" si="373"/><v/></c><c r="T4679" t="str"><f t="shared" si="374"/><v/></c><c r="U4679" t="str"><f t="shared" si="375"/><v/></c><c r="V4679" t="str"><f t="shared" si="376"/><v/></c><c r="AB4679" s="3" t="str"><f t="shared" si="372"/><v/></c><c r="AC4679" t="str"><f t="shared" si="377"/><v/></c></row><row r="4680" spans="19:29" x14ac:dyDescent="0.25"><c r="S4680" s="9" t="str"><f t="shared" si="373"/><v/></c><c r="T4680" t="str"><f t="shared" si="374"/><v/></c><c r="U4680" t="str"><f t="shared" si="375"/><v/></c><c r="V4680" t="str"><f t="shared" si="376"/><v/></c><c r="AB4680" s="3" t="str"><f t="shared" si="372"/><v/></c><c r="AC4680" t="str"><f t="shared" si="377"/><v/></c></row><row r="4681" spans="19:29" x14ac:dyDescent="0.25"><c r="S4681" s="9" t="str"><f t="shared" si="373"/><v/></c><c r="T4681" t="str"><f t="shared" si="374"/><v/></c><c r="U4681" t="str"><f t="shared" si="375"/><v/></c><c r="V4681" t="str"><f t="shared" si="376"/><v/></c><c r="AB4681" s="3" t="str"><f t="shared" si="372"/><v/></c><c r="AC4681" t="str"><f t="shared" si="377"/><v/></c></row><row r="4682" spans="19:29" x14ac:dyDescent="0.25"><c r="S4682" s="9" t="str"><f t="shared" si="373"/><v/></c><c r="T4682" t="str"><f t="shared" si="374"/><v/></c><c r="U4682" t="str"><f t="shared" si="375"/><v/></c><c r="V4682" t="str"><f t="shared" si="376"/><v/></c><c r="AB4682" s="3" t="str"><f t="shared" si="372"/><v/></c><c r="AC4682" t="str"><f t="shared" si="377"/><v/></c></row><row r="4683" spans="19:29" x14ac:dyDescent="0.25"><c r="S4683" s="9" t="str"><f t="shared" si="373"/><v/></c><c r="T4683" t="str"><f t="shared" si="374"/><v/></c><c r="U4683" t="str"><f t="shared" si="375"/><v/></c><c r="V4683" t="str"><f t="shared" si="376"/><v/></c><c r="AB4683" s="3" t="str"><f t="shared" si="372"/><v/></c><c r="AC4683" t="str"><f t="shared" si="377"/><v/></c></row><row r="4684" spans="19:29" x14ac:dyDescent="0.25"><c r="S4684" s="9" t="str"><f t="shared" si="373"/><v/></c><c r="T4684" t="str"><f t="shared" si="374"/><v/></c><c r="U4684" t="str"><f t="shared" si="375"/><v/></c><c r="V4684" t="str"><f t="shared" si="376"/><v/></c><c r="AB4684" s="3" t="str"><f t="shared" si="372"/><v/></c><c r="AC4684" t="str"><f t="shared" si="377"/><v/></c></row><row r="4685" spans="19:29" x14ac:dyDescent="0.25"><c r="S4685" s="9" t="str"><f t="shared" si="373"/><v/></c><c r="T4685" t="str"><f t="shared" si="374"/><v/></c><c r="U4685" t="str"><f t="shared" si="375"/><v/></c><c r="V4685" t="str"><f t="shared" si="376"/><v/></c><c r="AB4685" s="3" t="str"><f t="shared" si="372"/><v/></c><c r="AC4685" t="str"><f t="shared" si="377"/><v/></c></row><row r="4686" spans="19:29" x14ac:dyDescent="0.25"><c r="S4686" s="9" t="str"><f t="shared" si="373"/><v/></c><c r="T4686" t="str"><f t="shared" si="374"/><v/></c><c r="U4686" t="str"><f t="shared" si="375"/><v/></c><c r="V4686" t="str"><f t="shared" si="376"/><v/></c><c r="AB4686" s="3" t="str"><f t="shared" si="372"/><v/></c><c r="AC4686" t="str"><f t="shared" si="377"/><v/></c></row><row r="4687" spans="19:29" x14ac:dyDescent="0.25"><c r="S4687" s="9" t="str"><f t="shared" si="373"/><v/></c><c r="T4687" t="str"><f t="shared" si="374"/><v/></c><c r="U4687" t="str"><f t="shared" si="375"/><v/></c><c r="V4687" t="str"><f t="shared" si="376"/><v/></c><c r="AB4687" s="3" t="str"><f t="shared" si="372"/><v/></c><c r="AC4687" t="str"><f t="shared" si="377"/><v/></c></row><row r="4688" spans="19:29" x14ac:dyDescent="0.25"><c r="S4688" s="9" t="str"><f t="shared" si="373"/><v/></c><c r="T4688" t="str"><f t="shared" si="374"/><v/></c><c r="U4688" t="str"><f t="shared" si="375"/><v/></c><c r="V4688" t="str"><f t="shared" si="376"/><v/></c><c r="AB4688" s="3" t="str"><f t="shared" si="372"/><v/></c><c r="AC4688" t="str"><f t="shared" si="377"/><v/></c></row><row r="4689" spans="19:29" x14ac:dyDescent="0.25"><c r="S4689" s="9" t="str"><f t="shared" si="373"/><v/></c><c r="T4689" t="str"><f t="shared" si="374"/><v/></c><c r="U4689" t="str"><f t="shared" si="375"/><v/></c><c r="V4689" t="str"><f t="shared" si="376"/><v/></c><c r="AB4689" s="3" t="str"><f t="shared" si="372"/><v/></c><c r="AC4689" t="str"><f t="shared" si="377"/><v/></c></row><row r="4690" spans="19:29" x14ac:dyDescent="0.25"><c r="S4690" s="9" t="str"><f t="shared" si="373"/><v/></c><c r="T4690" t="str"><f t="shared" si="374"/><v/></c><c r="U4690" t="str"><f t="shared" si="375"/><v/></c><c r="V4690" t="str"><f t="shared" si="376"/><v/></c><c r="AB4690" s="3" t="str"><f t="shared" si="372"/><v/></c><c r="AC4690" t="str"><f t="shared" si="377"/><v/></c></row><row r="4691" spans="19:29" x14ac:dyDescent="0.25"><c r="S4691" s="9" t="str"><f t="shared" si="373"/><v/></c><c r="T4691" t="str"><f t="shared" si="374"/><v/></c><c r="U4691" t="str"><f t="shared" si="375"/><v/></c><c r="V4691" t="str"><f t="shared" si="376"/><v/></c><c r="AB4691" s="3" t="str"><f t="shared" si="372"/><v/></c><c r="AC4691" t="str"><f t="shared" si="377"/><v/></c></row><row r="4692" spans="19:29" x14ac:dyDescent="0.25"><c r="S4692" s="9" t="str"><f t="shared" si="373"/><v/></c><c r="T4692" t="str"><f t="shared" si="374"/><v/></c><c r="U4692" t="str"><f t="shared" si="375"/><v/></c><c r="V4692" t="str"><f t="shared" si="376"/><v/></c><c r="AB4692" s="3" t="str"><f t="shared" si="372"/><v/></c><c r="AC4692" t="str"><f t="shared" si="377"/><v/></c></row><row r="4693" spans="19:29" x14ac:dyDescent="0.25"><c r="S4693" s="9" t="str"><f t="shared" si="373"/><v/></c><c r="T4693" t="str"><f t="shared" si="374"/><v/></c><c r="U4693" t="str"><f t="shared" si="375"/><v/></c><c r="V4693" t="str"><f t="shared" si="376"/><v/></c><c r="AB4693" s="3" t="str"><f t="shared" si="372"/><v/></c><c r="AC4693" t="str"><f t="shared" si="377"/><v/></c></row><row r="4694" spans="19:29" x14ac:dyDescent="0.25"><c r="S4694" s="9" t="str"><f t="shared" si="373"/><v/></c><c r="T4694" t="str"><f t="shared" si="374"/><v/></c><c r="U4694" t="str"><f t="shared" si="375"/><v/></c><c r="V4694" t="str"><f t="shared" si="376"/><v/></c><c r="AB4694" s="3" t="str"><f t="shared" si="372"/><v/></c><c r="AC4694" t="str"><f t="shared" si="377"/><v/></c></row><row r="4695" spans="19:29" x14ac:dyDescent="0.25"><c r="S4695" s="9" t="str"><f t="shared" si="373"/><v/></c><c r="T4695" t="str"><f t="shared" si="374"/><v/></c><c r="U4695" t="str"><f t="shared" si="375"/><v/></c><c r="V4695" t="str"><f t="shared" si="376"/><v/></c><c r="AB4695" s="3" t="str"><f t="shared" si="372"/><v/></c><c r="AC4695" t="str"><f t="shared" si="377"/><v/></c></row><row r="4696" spans="19:29" x14ac:dyDescent="0.25"><c r="S4696" s="9" t="str"><f t="shared" si="373"/><v/></c><c r="T4696" t="str"><f t="shared" si="374"/><v/></c><c r="U4696" t="str"><f t="shared" si="375"/><v/></c><c r="V4696" t="str"><f t="shared" si="376"/><v/></c><c r="AB4696" s="3" t="str"><f t="shared" si="372"/><v/></c><c r="AC4696" t="str"><f t="shared" si="377"/><v/></c></row><row r="4697" spans="19:29" x14ac:dyDescent="0.25"><c r="S4697" s="9" t="str"><f t="shared" si="373"/><v/></c><c r="T4697" t="str"><f t="shared" si="374"/><v/></c><c r="U4697" t="str"><f t="shared" si="375"/><v/></c><c r="V4697" t="str"><f t="shared" si="376"/><v/></c><c r="AB4697" s="3" t="str"><f t="shared" si="372"/><v/></c><c r="AC4697" t="str"><f t="shared" si="377"/><v/></c></row><row r="4698" spans="19:29" x14ac:dyDescent="0.25"><c r="S4698" s="9" t="str"><f t="shared" si="373"/><v/></c><c r="T4698" t="str"><f t="shared" si="374"/><v/></c><c r="U4698" t="str"><f t="shared" si="375"/><v/></c><c r="V4698" t="str"><f t="shared" si="376"/><v/></c><c r="AB4698" s="3" t="str"><f t="shared" si="372"/><v/></c><c r="AC4698" t="str"><f t="shared" si="377"/><v/></c></row><row r="4699" spans="19:29" x14ac:dyDescent="0.25"><c r="S4699" s="9" t="str"><f t="shared" si="373"/><v/></c><c r="T4699" t="str"><f t="shared" si="374"/><v/></c><c r="U4699" t="str"><f t="shared" si="375"/><v/></c><c r="V4699" t="str"><f t="shared" si="376"/><v/></c><c r="AB4699" s="3" t="str"><f t="shared" si="372"/><v/></c><c r="AC4699" t="str"><f t="shared" si="377"/><v/></c></row><row r="4700" spans="19:29" x14ac:dyDescent="0.25"><c r="S4700" s="9" t="str"><f t="shared" si="373"/><v/></c><c r="T4700" t="str"><f t="shared" si="374"/><v/></c><c r="U4700" t="str"><f t="shared" si="375"/><v/></c><c r="V4700" t="str"><f t="shared" si="376"/><v/></c><c r="AB4700" s="3" t="str"><f t="shared" si="372"/><v/></c><c r="AC4700" t="str"><f t="shared" si="377"/><v/></c></row><row r="4701" spans="19:29" x14ac:dyDescent="0.25"><c r="S4701" s="9" t="str"><f t="shared" si="373"/><v/></c><c r="T4701" t="str"><f t="shared" si="374"/><v/></c><c r="U4701" t="str"><f t="shared" si="375"/><v/></c><c r="V4701" t="str"><f t="shared" si="376"/><v/></c><c r="AB4701" s="3" t="str"><f t="shared" si="372"/><v/></c><c r="AC4701" t="str"><f t="shared" si="377"/><v/></c></row><row r="4702" spans="19:29" x14ac:dyDescent="0.25"><c r="S4702" s="9" t="str"><f t="shared" si="373"/><v/></c><c r="T4702" t="str"><f t="shared" si="374"/><v/></c><c r="U4702" t="str"><f t="shared" si="375"/><v/></c><c r="V4702" t="str"><f t="shared" si="376"/><v/></c><c r="AB4702" s="3" t="str"><f t="shared" si="372"/><v/></c><c r="AC4702" t="str"><f t="shared" si="377"/><v/></c></row><row r="4703" spans="19:29" x14ac:dyDescent="0.25"><c r="S4703" s="9" t="str"><f t="shared" si="373"/><v/></c><c r="T4703" t="str"><f t="shared" si="374"/><v/></c><c r="U4703" t="str"><f t="shared" si="375"/><v/></c><c r="V4703" t="str"><f t="shared" si="376"/><v/></c><c r="AB4703" s="3" t="str"><f t="shared" si="372"/><v/></c><c r="AC4703" t="str"><f t="shared" si="377"/><v/></c></row><row r="4704" spans="19:29" x14ac:dyDescent="0.25"><c r="S4704" s="9" t="str"><f t="shared" si="373"/><v/></c><c r="T4704" t="str"><f t="shared" si="374"/><v/></c><c r="U4704" t="str"><f t="shared" si="375"/><v/></c><c r="V4704" t="str"><f t="shared" si="376"/><v/></c><c r="AB4704" s="3" t="str"><f t="shared" si="372"/><v/></c><c r="AC4704" t="str"><f t="shared" si="377"/><v/></c></row><row r="4705" spans="19:29" x14ac:dyDescent="0.25"><c r="S4705" s="9" t="str"><f t="shared" si="373"/><v/></c><c r="T4705" t="str"><f t="shared" si="374"/><v/></c><c r="U4705" t="str"><f t="shared" si="375"/><v/></c><c r="V4705" t="str"><f t="shared" si="376"/><v/></c><c r="AB4705" s="3" t="str"><f t="shared" si="372"/><v/></c><c r="AC4705" t="str"><f t="shared" si="377"/><v/></c></row><row r="4706" spans="19:29" x14ac:dyDescent="0.25"><c r="S4706" s="9" t="str"><f t="shared" si="373"/><v/></c><c r="T4706" t="str"><f t="shared" si="374"/><v/></c><c r="U4706" t="str"><f t="shared" si="375"/><v/></c><c r="V4706" t="str"><f t="shared" si="376"/><v/></c><c r="AB4706" s="3" t="str"><f t="shared" si="372"/><v/></c><c r="AC4706" t="str"><f t="shared" si="377"/><v/></c></row><row r="4707" spans="19:29" x14ac:dyDescent="0.25"><c r="S4707" s="9" t="str"><f t="shared" si="373"/><v/></c><c r="T4707" t="str"><f t="shared" si="374"/><v/></c><c r="U4707" t="str"><f t="shared" si="375"/><v/></c><c r="V4707" t="str"><f t="shared" si="376"/><v/></c><c r="AB4707" s="3" t="str"><f t="shared" si="372"/><v/></c><c r="AC4707" t="str"><f t="shared" si="377"/><v/></c></row><row r="4708" spans="19:29" x14ac:dyDescent="0.25"><c r="S4708" s="9" t="str"><f t="shared" si="373"/><v/></c><c r="T4708" t="str"><f t="shared" si="374"/><v/></c><c r="U4708" t="str"><f t="shared" si="375"/><v/></c><c r="V4708" t="str"><f t="shared" si="376"/><v/></c><c r="AB4708" s="3" t="str"><f t="shared" si="372"/><v/></c><c r="AC4708" t="str"><f t="shared" si="377"/><v/></c></row><row r="4709" spans="19:29" x14ac:dyDescent="0.25"><c r="S4709" s="9" t="str"><f t="shared" si="373"/><v/></c><c r="T4709" t="str"><f t="shared" si="374"/><v/></c><c r="U4709" t="str"><f t="shared" si="375"/><v/></c><c r="V4709" t="str"><f t="shared" si="376"/><v/></c><c r="AB4709" s="3" t="str"><f t="shared" si="372"/><v/></c><c r="AC4709" t="str"><f t="shared" si="377"/><v/></c></row><row r="4710" spans="19:29" x14ac:dyDescent="0.25"><c r="S4710" s="9" t="str"><f t="shared" si="373"/><v/></c><c r="T4710" t="str"><f t="shared" si="374"/><v/></c><c r="U4710" t="str"><f t="shared" si="375"/><v/></c><c r="V4710" t="str"><f t="shared" si="376"/><v/></c><c r="AB4710" s="3" t="str"><f t="shared" si="372"/><v/></c><c r="AC4710" t="str"><f t="shared" si="377"/><v/></c></row><row r="4711" spans="19:29" x14ac:dyDescent="0.25"><c r="S4711" s="9" t="str"><f t="shared" si="373"/><v/></c><c r="T4711" t="str"><f t="shared" si="374"/><v/></c><c r="U4711" t="str"><f t="shared" si="375"/><v/></c><c r="V4711" t="str"><f t="shared" si="376"/><v/></c><c r="AB4711" s="3" t="str"><f t="shared" si="372"/><v/></c><c r="AC4711" t="str"><f t="shared" si="377"/><v/></c></row><row r="4712" spans="19:29" x14ac:dyDescent="0.25"><c r="S4712" s="9" t="str"><f t="shared" si="373"/><v/></c><c r="T4712" t="str"><f t="shared" si="374"/><v/></c><c r="U4712" t="str"><f t="shared" si="375"/><v/></c><c r="V4712" t="str"><f t="shared" si="376"/><v/></c><c r="AB4712" s="3" t="str"><f t="shared" si="372"/><v/></c><c r="AC4712" t="str"><f t="shared" si="377"/><v/></c></row><row r="4713" spans="19:29" x14ac:dyDescent="0.25"><c r="S4713" s="9" t="str"><f t="shared" si="373"/><v/></c><c r="T4713" t="str"><f t="shared" si="374"/><v/></c><c r="U4713" t="str"><f t="shared" si="375"/><v/></c><c r="V4713" t="str"><f t="shared" si="376"/><v/></c><c r="AB4713" s="3" t="str"><f t="shared" si="372"/><v/></c><c r="AC4713" t="str"><f t="shared" si="377"/><v/></c></row><row r="4714" spans="19:29" x14ac:dyDescent="0.25"><c r="S4714" s="9" t="str"><f t="shared" si="373"/><v/></c><c r="T4714" t="str"><f t="shared" si="374"/><v/></c><c r="U4714" t="str"><f t="shared" si="375"/><v/></c><c r="V4714" t="str"><f t="shared" si="376"/><v/></c><c r="AB4714" s="3" t="str"><f t="shared" si="372"/><v/></c><c r="AC4714" t="str"><f t="shared" si="377"/><v/></c></row><row r="4715" spans="19:29" x14ac:dyDescent="0.25"><c r="S4715" s="9" t="str"><f t="shared" si="373"/><v/></c><c r="T4715" t="str"><f t="shared" si="374"/><v/></c><c r="U4715" t="str"><f t="shared" si="375"/><v/></c><c r="V4715" t="str"><f t="shared" si="376"/><v/></c><c r="AB4715" s="3" t="str"><f t="shared" si="372"/><v/></c><c r="AC4715" t="str"><f t="shared" si="377"/><v/></c></row><row r="4716" spans="19:29" x14ac:dyDescent="0.25"><c r="S4716" s="9" t="str"><f t="shared" si="373"/><v/></c><c r="T4716" t="str"><f t="shared" si="374"/><v/></c><c r="U4716" t="str"><f t="shared" si="375"/><v/></c><c r="V4716" t="str"><f t="shared" si="376"/><v/></c><c r="AB4716" s="3" t="str"><f t="shared" si="372"/><v/></c><c r="AC4716" t="str"><f t="shared" si="377"/><v/></c></row><row r="4717" spans="19:29" x14ac:dyDescent="0.25"><c r="S4717" s="9" t="str"><f t="shared" si="373"/><v/></c><c r="T4717" t="str"><f t="shared" si="374"/><v/></c><c r="U4717" t="str"><f t="shared" si="375"/><v/></c><c r="V4717" t="str"><f t="shared" si="376"/><v/></c><c r="AB4717" s="3" t="str"><f t="shared" si="372"/><v/></c><c r="AC4717" t="str"><f t="shared" si="377"/><v/></c></row><row r="4718" spans="19:29" x14ac:dyDescent="0.25"><c r="S4718" s="9" t="str"><f t="shared" si="373"/><v/></c><c r="T4718" t="str"><f t="shared" si="374"/><v/></c><c r="U4718" t="str"><f t="shared" si="375"/><v/></c><c r="V4718" t="str"><f t="shared" si="376"/><v/></c><c r="AB4718" s="3" t="str"><f t="shared" si="372"/><v/></c><c r="AC4718" t="str"><f t="shared" si="377"/><v/></c></row><row r="4719" spans="19:29" x14ac:dyDescent="0.25"><c r="S4719" s="9" t="str"><f t="shared" si="373"/><v/></c><c r="T4719" t="str"><f t="shared" si="374"/><v/></c><c r="U4719" t="str"><f t="shared" si="375"/><v/></c><c r="V4719" t="str"><f t="shared" si="376"/><v/></c><c r="AB4719" s="3" t="str"><f t="shared" si="372"/><v/></c><c r="AC4719" t="str"><f t="shared" si="377"/><v/></c></row><row r="70101" spans="19:19" x14ac:dyDescent="0.25"><c r="S70101" s="9"/></row></sheetData><autoFilter ref="A2:AP4955" xr:uid="{00000000-0009-0000-0000-000000000000}"/><conditionalFormatting sqref="B1:B1048576"><cfRule type="duplicateValues" dxfId="3" priority="2"/></conditionalFormatting><pageMargins left="0.7" right="0.7" top="0.75" bottom="0.75" header="0.511811023622047" footer="0.511811023622047"/><pageSetup orientation="portrait" horizontalDpi="300" verticalDpi="300"/><extLst><ext uri="{AAAAAAAA-AAAA-AAAA-AAAA-AAAAAAAAAADF}" xmlns:x14="http://schemas.microsoft.com/office/spreadsheetml/2009/9/main"><x14:conditionalFormattings><x14:conditionalFormatting xmlns:xm="http://schemas.microsoft.com/office/excel/2006/main"><x14:cfRule type="expression" priority="3" id="{70874B97-60D3-4E58-BF41-4FEC64D6AC4B}"><xm:f>INDEX(OFFSET(Columns!$A$1, 1, 4, 18, 14), MATCH(INDIRECT(ADDRESS(2, COLUMN())), Columns!$A$2:$A$19, 0), MATCH(INDIRECT(ADDRESS(ROW(), 1)), OFFSET(Columns!$A$1, 0, 4, 1, 14), 0))="REQUIRED"</xm:f><x14:dxf><fill><patternFill><bgColor rgb="FFFFC7CE"/></patternFill></fill></x14:dxf></x14:cfRule><x14:cfRule type="expression" priority="4" id="{AAAAAAAA-AAAA-AAAA-AAAA-AAAAAAAAAADF}"><xm:f>INDEX(OFFSET(Columns!$A$1, 1, 4, 18, 14), MATCH(INDIRECT(ADDRESS(2, COLUMN())), Columns!$A$2:$A$19, 0), MATCH(INDIRECT(ADDRESS(ROW(), 1)), OFFSET(Columns!$A$1, 0, 4, 1, 14), 0))="RECOMMENDED"</xm:f><x14:dxf><fill><patternFill><bgColor rgb="FFFFF6B5"/></patternFill></fill></x14:dxf></x14:cfRule><x14:cfRule type="expression" priority="5" id="{B8FE9C5F-2EF5-4FD0-8A94-CB99AC3412E7}"><xm:f>INDEX(OFFSET(Columns!$A$1, 1, 4, 18, 14), MATCH(INDIRECT(ADDRESS(2, COLUMN())), Columns!$A$2:$A$19, 0), MATCH(INDIRECT(ADDRESS(ROW(), 1)), OFFSET(Columns!$A$1, 0, 4, 1, 14), 0))="NA"</xm:f><x14:dxf><fill><patternFill><bgColor rgb="FFC0C0C0"/></patternFill></fill></x14:dxf></x14:cfRule><xm:sqref>A70102:S1048576 A3:R70101</xm:sqref></x14:conditionalFormatting></x14:conditionalFormattings></ext><ext uri="{AAAAAAAA-AAAA-AAAA-AAAA-AAAAAAAAAADF}" xmlns:x14="http://schemas.microsoft.com/office/spreadsheetml/2009/9/main"></ext></extLst></worksheet>
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57" bestFit="1" customWidth="1"/>
  </cols>
  <sheetData>
    <row r="1" spans="1:2" x14ac:dyDescent="0.2">
      <c r="A1" t="s">
        <v>12</v>
      </c>
      <c r="B1" t="s">
        <v>15</v>
      </c>
    </row>
    <row r="2" spans="1:2" x14ac:dyDescent="0.2">
      <c r="A2" t="s">
        <v>27</v>
      </c>
      <c r="B2" t="s">
        <v>32</v>
      </c>
    </row>
    <row r="3" spans="1:2" x14ac:dyDescent="0.2">
      <c r="A3" t="s">
        <v>28</v>
      </c>
      <c r="B3" t="s">
        <v>33</v>
      </c>
    </row>
    <row r="4" spans="1:2" x14ac:dyDescent="0.2">
      <c r="A4" t="s">
        <v>29</v>
      </c>
      <c r="B4" t="s">
        <v>34</v>
      </c>
    </row>
    <row r="5" spans="1:2" x14ac:dyDescent="0.2">
      <c r="A5" t="s">
        <v>30</v>
      </c>
      <c r="B5" t="s">
        <v>35</v>
      </c>
    </row>
    <row r="6" spans="1:2" x14ac:dyDescent="0.2">
      <c r="A6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3"/>
  <sheetViews>
    <sheetView topLeftCell="A19" zoomScaleNormal="100" workbookViewId="0">
      <selection activeCell="D41" sqref="D41"/>
    </sheetView>
  </sheetViews>
  <sheetFormatPr defaultColWidth="8.85546875" defaultRowHeight="15" x14ac:dyDescent="0.25"/>
  <cols>
    <col min="1" max="1" width="20.85546875" customWidth="1"/>
    <col min="2" max="19" width="8.28515625" customWidth="1"/>
  </cols>
  <sheetData>
    <row r="1" spans="1:18" x14ac:dyDescent="0.25">
      <c r="A1" t="s">
        <v>7909</v>
      </c>
      <c r="B1" t="s">
        <v>7910</v>
      </c>
      <c r="C1" t="s">
        <v>7911</v>
      </c>
      <c r="D1" t="s">
        <v>7912</v>
      </c>
      <c r="E1" t="s">
        <v>7913</v>
      </c>
      <c r="F1" t="s">
        <v>7914</v>
      </c>
      <c r="G1" t="s">
        <v>7915</v>
      </c>
      <c r="H1" t="s">
        <v>7916</v>
      </c>
      <c r="I1" t="s">
        <v>7917</v>
      </c>
      <c r="J1" t="s">
        <v>7918</v>
      </c>
      <c r="K1" t="s">
        <v>7919</v>
      </c>
      <c r="L1" t="s">
        <v>7920</v>
      </c>
      <c r="M1" t="s">
        <v>7921</v>
      </c>
      <c r="N1" t="s">
        <v>7922</v>
      </c>
      <c r="O1" t="s">
        <v>7923</v>
      </c>
      <c r="P1" t="s">
        <v>7924</v>
      </c>
      <c r="Q1" t="s">
        <v>7925</v>
      </c>
      <c r="R1" t="s">
        <v>7926</v>
      </c>
    </row>
    <row r="2" spans="1:18" x14ac:dyDescent="0.25">
      <c r="A2" t="s">
        <v>42</v>
      </c>
      <c r="B2" t="s">
        <v>0</v>
      </c>
      <c r="C2" t="s">
        <v>7927</v>
      </c>
      <c r="D2" t="s">
        <v>7925</v>
      </c>
      <c r="E2" t="s">
        <v>7928</v>
      </c>
      <c r="F2" t="s">
        <v>7928</v>
      </c>
      <c r="G2" t="s">
        <v>7928</v>
      </c>
      <c r="H2" t="s">
        <v>7928</v>
      </c>
      <c r="I2" t="s">
        <v>7928</v>
      </c>
      <c r="J2" t="s">
        <v>7928</v>
      </c>
      <c r="K2" t="s">
        <v>7928</v>
      </c>
      <c r="L2" t="s">
        <v>7928</v>
      </c>
      <c r="M2" t="s">
        <v>7928</v>
      </c>
      <c r="N2" t="s">
        <v>7928</v>
      </c>
      <c r="O2" t="s">
        <v>7928</v>
      </c>
      <c r="P2" t="s">
        <v>7928</v>
      </c>
      <c r="Q2" t="s">
        <v>7928</v>
      </c>
      <c r="R2" t="s">
        <v>7928</v>
      </c>
    </row>
    <row r="3" spans="1:18" x14ac:dyDescent="0.25">
      <c r="A3" t="s">
        <v>43</v>
      </c>
      <c r="B3" t="s">
        <v>1</v>
      </c>
      <c r="C3" t="s">
        <v>1</v>
      </c>
      <c r="E3" t="s">
        <v>7928</v>
      </c>
      <c r="F3" t="s">
        <v>7928</v>
      </c>
      <c r="G3" t="s">
        <v>7928</v>
      </c>
      <c r="H3" t="s">
        <v>7928</v>
      </c>
      <c r="I3" t="s">
        <v>7928</v>
      </c>
      <c r="J3" t="s">
        <v>7928</v>
      </c>
      <c r="K3" t="s">
        <v>7928</v>
      </c>
      <c r="L3" t="s">
        <v>7928</v>
      </c>
      <c r="M3" t="s">
        <v>7928</v>
      </c>
      <c r="N3" t="s">
        <v>7928</v>
      </c>
      <c r="O3" t="s">
        <v>7928</v>
      </c>
      <c r="P3" t="s">
        <v>7928</v>
      </c>
      <c r="Q3" t="s">
        <v>7928</v>
      </c>
      <c r="R3" t="s">
        <v>7928</v>
      </c>
    </row>
    <row r="4" spans="1:18" x14ac:dyDescent="0.25">
      <c r="A4" t="s">
        <v>44</v>
      </c>
      <c r="B4" t="s">
        <v>2</v>
      </c>
      <c r="C4" t="s">
        <v>7929</v>
      </c>
      <c r="E4" t="s">
        <v>7928</v>
      </c>
      <c r="F4" t="s">
        <v>7928</v>
      </c>
      <c r="G4" t="s">
        <v>7928</v>
      </c>
      <c r="H4" t="s">
        <v>7928</v>
      </c>
      <c r="I4" t="s">
        <v>7928</v>
      </c>
      <c r="J4" t="s">
        <v>7928</v>
      </c>
      <c r="K4" t="s">
        <v>7928</v>
      </c>
      <c r="L4" t="s">
        <v>7928</v>
      </c>
      <c r="M4" t="s">
        <v>7928</v>
      </c>
      <c r="N4" t="s">
        <v>7928</v>
      </c>
      <c r="O4" t="s">
        <v>7928</v>
      </c>
      <c r="P4" t="s">
        <v>7928</v>
      </c>
      <c r="Q4" t="s">
        <v>7928</v>
      </c>
      <c r="R4" t="s">
        <v>7928</v>
      </c>
    </row>
    <row r="5" spans="1:18" x14ac:dyDescent="0.25">
      <c r="A5" t="s">
        <v>45</v>
      </c>
      <c r="B5" t="s">
        <v>3</v>
      </c>
      <c r="C5" t="s">
        <v>7930</v>
      </c>
      <c r="E5" t="s">
        <v>7928</v>
      </c>
      <c r="F5" t="s">
        <v>7928</v>
      </c>
      <c r="G5" t="s">
        <v>7928</v>
      </c>
      <c r="H5" t="s">
        <v>7928</v>
      </c>
      <c r="I5" t="s">
        <v>7928</v>
      </c>
      <c r="J5" t="s">
        <v>7928</v>
      </c>
      <c r="K5" t="s">
        <v>7928</v>
      </c>
      <c r="L5" t="s">
        <v>7928</v>
      </c>
      <c r="M5" t="s">
        <v>7928</v>
      </c>
      <c r="N5" t="s">
        <v>7928</v>
      </c>
      <c r="O5" t="s">
        <v>7928</v>
      </c>
      <c r="P5" t="s">
        <v>7928</v>
      </c>
      <c r="Q5" t="s">
        <v>7928</v>
      </c>
      <c r="R5" t="s">
        <v>7928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CC5D90-364C-449B-B4E8-D1C9978A5B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Data</vt:lpstr>
      <vt:lpstr>ReferenceData</vt:lpstr>
      <vt:lpstr>Validation_505b59e7282742e6f61a639df5e69e82d709854cf476b5ede3894b78279b0dea_product_brandName
            </vt:lpstr>
      <vt:lpstr>
                Validation_edd592f02482e1f2edfdc424fa3a56fb9bcc9e1e1893962707d7047ed1a0992a_product_ProductCategory
          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importType=operator|headerCodeLine=2|language=fr_FR</cp:keywords>
  <cp:lastModifiedBy>Quentin Lemoigne</cp:lastModifiedBy>
  <dcterms:created xsi:type="dcterms:W3CDTF">2025-10-20T14:00:52Z</dcterms:created>
  <dcterms:modified xsi:type="dcterms:W3CDTF">2025-11-05T09:59:14Z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